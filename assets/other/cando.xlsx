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martin/Downloads/"/>
    </mc:Choice>
  </mc:AlternateContent>
  <xr:revisionPtr revIDLastSave="0" documentId="13_ncr:1_{EBB18C28-E655-C440-9F16-46787DFB087F}" xr6:coauthVersionLast="47" xr6:coauthVersionMax="47" xr10:uidLastSave="{00000000-0000-0000-0000-000000000000}"/>
  <bookViews>
    <workbookView xWindow="3260" yWindow="2160" windowWidth="28040" windowHeight="17440" xr2:uid="{72E19D11-83F4-7C4B-B78B-B2FDF947AD0D}"/>
  </bookViews>
  <sheets>
    <sheet name="Sheet1" sheetId="1" r:id="rId1"/>
    <sheet name="Chart1" sheetId="2" r:id="rId2"/>
    <sheet name="Char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" i="1" l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2" i="1"/>
  <c r="C79" i="1"/>
  <c r="L9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4" i="1"/>
  <c r="T5" i="1"/>
  <c r="T6" i="1"/>
  <c r="T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H10" i="1"/>
  <c r="H11" i="1"/>
  <c r="H12" i="1"/>
  <c r="H13" i="1"/>
  <c r="H20" i="1"/>
  <c r="H21" i="1"/>
  <c r="H22" i="1"/>
  <c r="H23" i="1"/>
  <c r="H30" i="1"/>
  <c r="H31" i="1"/>
  <c r="H32" i="1"/>
  <c r="H33" i="1"/>
  <c r="H40" i="1"/>
  <c r="H41" i="1"/>
  <c r="H42" i="1"/>
  <c r="H43" i="1"/>
  <c r="H50" i="1"/>
  <c r="H51" i="1"/>
  <c r="H52" i="1"/>
  <c r="H53" i="1"/>
  <c r="H60" i="1"/>
  <c r="H61" i="1"/>
  <c r="H63" i="1"/>
  <c r="H70" i="1"/>
  <c r="H71" i="1"/>
  <c r="H72" i="1"/>
  <c r="H73" i="1"/>
  <c r="G21" i="1"/>
  <c r="G41" i="1"/>
  <c r="G61" i="1"/>
  <c r="D3" i="1"/>
  <c r="G4" i="1" s="1"/>
  <c r="D4" i="1"/>
  <c r="D5" i="1"/>
  <c r="G6" i="1" s="1"/>
  <c r="D6" i="1"/>
  <c r="G7" i="1" s="1"/>
  <c r="D7" i="1"/>
  <c r="G8" i="1" s="1"/>
  <c r="D8" i="1"/>
  <c r="G9" i="1" s="1"/>
  <c r="D9" i="1"/>
  <c r="G10" i="1" s="1"/>
  <c r="D10" i="1"/>
  <c r="G11" i="1" s="1"/>
  <c r="D11" i="1"/>
  <c r="D12" i="1"/>
  <c r="D13" i="1"/>
  <c r="G14" i="1" s="1"/>
  <c r="D14" i="1"/>
  <c r="D15" i="1"/>
  <c r="D16" i="1"/>
  <c r="G17" i="1" s="1"/>
  <c r="D17" i="1"/>
  <c r="G18" i="1" s="1"/>
  <c r="D18" i="1"/>
  <c r="G19" i="1" s="1"/>
  <c r="D19" i="1"/>
  <c r="G20" i="1" s="1"/>
  <c r="D20" i="1"/>
  <c r="D21" i="1"/>
  <c r="D22" i="1"/>
  <c r="D23" i="1"/>
  <c r="G24" i="1" s="1"/>
  <c r="D24" i="1"/>
  <c r="D25" i="1"/>
  <c r="G26" i="1" s="1"/>
  <c r="D26" i="1"/>
  <c r="G27" i="1" s="1"/>
  <c r="D27" i="1"/>
  <c r="G28" i="1" s="1"/>
  <c r="D28" i="1"/>
  <c r="G29" i="1" s="1"/>
  <c r="D29" i="1"/>
  <c r="G30" i="1" s="1"/>
  <c r="D30" i="1"/>
  <c r="G31" i="1" s="1"/>
  <c r="D31" i="1"/>
  <c r="D32" i="1"/>
  <c r="D33" i="1"/>
  <c r="G34" i="1" s="1"/>
  <c r="D34" i="1"/>
  <c r="D35" i="1"/>
  <c r="G36" i="1" s="1"/>
  <c r="D36" i="1"/>
  <c r="G37" i="1" s="1"/>
  <c r="D37" i="1"/>
  <c r="G38" i="1" s="1"/>
  <c r="D38" i="1"/>
  <c r="G39" i="1" s="1"/>
  <c r="D39" i="1"/>
  <c r="G40" i="1" s="1"/>
  <c r="D40" i="1"/>
  <c r="D41" i="1"/>
  <c r="D42" i="1"/>
  <c r="D43" i="1"/>
  <c r="G44" i="1" s="1"/>
  <c r="D44" i="1"/>
  <c r="D45" i="1"/>
  <c r="G46" i="1" s="1"/>
  <c r="D46" i="1"/>
  <c r="G47" i="1" s="1"/>
  <c r="D47" i="1"/>
  <c r="G48" i="1" s="1"/>
  <c r="D48" i="1"/>
  <c r="G49" i="1" s="1"/>
  <c r="D49" i="1"/>
  <c r="G50" i="1" s="1"/>
  <c r="D50" i="1"/>
  <c r="G51" i="1" s="1"/>
  <c r="D51" i="1"/>
  <c r="D52" i="1"/>
  <c r="D53" i="1"/>
  <c r="G54" i="1" s="1"/>
  <c r="D54" i="1"/>
  <c r="D55" i="1"/>
  <c r="G56" i="1" s="1"/>
  <c r="D56" i="1"/>
  <c r="G57" i="1" s="1"/>
  <c r="D57" i="1"/>
  <c r="G58" i="1" s="1"/>
  <c r="D58" i="1"/>
  <c r="G59" i="1" s="1"/>
  <c r="D59" i="1"/>
  <c r="G60" i="1" s="1"/>
  <c r="D60" i="1"/>
  <c r="D61" i="1"/>
  <c r="D62" i="1"/>
  <c r="D63" i="1"/>
  <c r="G64" i="1" s="1"/>
  <c r="D64" i="1"/>
  <c r="D65" i="1"/>
  <c r="G66" i="1" s="1"/>
  <c r="D66" i="1"/>
  <c r="G67" i="1" s="1"/>
  <c r="D67" i="1"/>
  <c r="G68" i="1" s="1"/>
  <c r="D68" i="1"/>
  <c r="G69" i="1" s="1"/>
  <c r="D69" i="1"/>
  <c r="G70" i="1" s="1"/>
  <c r="D70" i="1"/>
  <c r="G71" i="1" s="1"/>
  <c r="D71" i="1"/>
  <c r="D72" i="1"/>
  <c r="D73" i="1"/>
  <c r="G74" i="1" s="1"/>
  <c r="D74" i="1"/>
  <c r="D75" i="1"/>
  <c r="G76" i="1" s="1"/>
  <c r="D76" i="1"/>
  <c r="G77" i="1" s="1"/>
  <c r="D77" i="1"/>
  <c r="D2" i="1"/>
  <c r="G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3" i="1"/>
  <c r="M3" i="1"/>
  <c r="M4" i="1" s="1"/>
  <c r="K4" i="1"/>
  <c r="H5" i="1" s="1"/>
  <c r="K5" i="1"/>
  <c r="H6" i="1" s="1"/>
  <c r="K6" i="1"/>
  <c r="H7" i="1" s="1"/>
  <c r="K7" i="1"/>
  <c r="H8" i="1" s="1"/>
  <c r="K8" i="1"/>
  <c r="H9" i="1" s="1"/>
  <c r="K9" i="1"/>
  <c r="K10" i="1"/>
  <c r="K11" i="1"/>
  <c r="K12" i="1"/>
  <c r="K13" i="1"/>
  <c r="H14" i="1" s="1"/>
  <c r="K14" i="1"/>
  <c r="H15" i="1" s="1"/>
  <c r="K15" i="1"/>
  <c r="H16" i="1" s="1"/>
  <c r="K16" i="1"/>
  <c r="H17" i="1" s="1"/>
  <c r="K17" i="1"/>
  <c r="H18" i="1" s="1"/>
  <c r="K18" i="1"/>
  <c r="H19" i="1" s="1"/>
  <c r="K19" i="1"/>
  <c r="K20" i="1"/>
  <c r="K21" i="1"/>
  <c r="K22" i="1"/>
  <c r="K23" i="1"/>
  <c r="H24" i="1" s="1"/>
  <c r="K24" i="1"/>
  <c r="H25" i="1" s="1"/>
  <c r="K25" i="1"/>
  <c r="H26" i="1" s="1"/>
  <c r="K26" i="1"/>
  <c r="H27" i="1" s="1"/>
  <c r="K27" i="1"/>
  <c r="H28" i="1" s="1"/>
  <c r="K28" i="1"/>
  <c r="H29" i="1" s="1"/>
  <c r="K29" i="1"/>
  <c r="K30" i="1"/>
  <c r="K31" i="1"/>
  <c r="K32" i="1"/>
  <c r="K33" i="1"/>
  <c r="H34" i="1" s="1"/>
  <c r="K34" i="1"/>
  <c r="H35" i="1" s="1"/>
  <c r="K35" i="1"/>
  <c r="H36" i="1" s="1"/>
  <c r="K36" i="1"/>
  <c r="H37" i="1" s="1"/>
  <c r="K37" i="1"/>
  <c r="H38" i="1" s="1"/>
  <c r="K38" i="1"/>
  <c r="H39" i="1" s="1"/>
  <c r="K39" i="1"/>
  <c r="K40" i="1"/>
  <c r="K41" i="1"/>
  <c r="K42" i="1"/>
  <c r="K43" i="1"/>
  <c r="H44" i="1" s="1"/>
  <c r="K44" i="1"/>
  <c r="H45" i="1" s="1"/>
  <c r="K45" i="1"/>
  <c r="H46" i="1" s="1"/>
  <c r="K46" i="1"/>
  <c r="H47" i="1" s="1"/>
  <c r="K47" i="1"/>
  <c r="H48" i="1" s="1"/>
  <c r="K48" i="1"/>
  <c r="H49" i="1" s="1"/>
  <c r="K49" i="1"/>
  <c r="K50" i="1"/>
  <c r="K51" i="1"/>
  <c r="K52" i="1"/>
  <c r="K53" i="1"/>
  <c r="H54" i="1" s="1"/>
  <c r="K54" i="1"/>
  <c r="H55" i="1" s="1"/>
  <c r="K55" i="1"/>
  <c r="H56" i="1" s="1"/>
  <c r="K56" i="1"/>
  <c r="H57" i="1" s="1"/>
  <c r="K57" i="1"/>
  <c r="H58" i="1" s="1"/>
  <c r="K58" i="1"/>
  <c r="H59" i="1" s="1"/>
  <c r="K59" i="1"/>
  <c r="K60" i="1"/>
  <c r="K61" i="1"/>
  <c r="K62" i="1"/>
  <c r="H62" i="1" s="1"/>
  <c r="K63" i="1"/>
  <c r="H64" i="1" s="1"/>
  <c r="K64" i="1"/>
  <c r="H65" i="1" s="1"/>
  <c r="K65" i="1"/>
  <c r="H66" i="1" s="1"/>
  <c r="K66" i="1"/>
  <c r="H67" i="1" s="1"/>
  <c r="K67" i="1"/>
  <c r="H68" i="1" s="1"/>
  <c r="K68" i="1"/>
  <c r="H69" i="1" s="1"/>
  <c r="K69" i="1"/>
  <c r="K70" i="1"/>
  <c r="K71" i="1"/>
  <c r="K72" i="1"/>
  <c r="K73" i="1"/>
  <c r="H74" i="1" s="1"/>
  <c r="K74" i="1"/>
  <c r="H75" i="1" s="1"/>
  <c r="K75" i="1"/>
  <c r="H76" i="1" s="1"/>
  <c r="K76" i="1"/>
  <c r="H77" i="1" s="1"/>
  <c r="K77" i="1"/>
  <c r="K3" i="1"/>
  <c r="H4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3" i="1"/>
  <c r="G16" i="1" l="1"/>
  <c r="G75" i="1"/>
  <c r="G65" i="1"/>
  <c r="G55" i="1"/>
  <c r="G45" i="1"/>
  <c r="G35" i="1"/>
  <c r="G25" i="1"/>
  <c r="G15" i="1"/>
  <c r="G5" i="1"/>
  <c r="H3" i="1"/>
  <c r="G73" i="1"/>
  <c r="G63" i="1"/>
  <c r="G53" i="1"/>
  <c r="G43" i="1"/>
  <c r="G33" i="1"/>
  <c r="G23" i="1"/>
  <c r="G13" i="1"/>
  <c r="G12" i="1"/>
  <c r="G72" i="1"/>
  <c r="G62" i="1"/>
  <c r="G52" i="1"/>
  <c r="G42" i="1"/>
  <c r="G32" i="1"/>
  <c r="G22" i="1"/>
  <c r="M5" i="1"/>
  <c r="N4" i="1"/>
  <c r="N3" i="1"/>
  <c r="Q3" i="1" s="1"/>
  <c r="Q4" i="1" l="1"/>
  <c r="M6" i="1"/>
  <c r="N5" i="1"/>
  <c r="Q5" i="1" l="1"/>
  <c r="N6" i="1"/>
  <c r="M7" i="1"/>
  <c r="Q6" i="1" l="1"/>
  <c r="M8" i="1"/>
  <c r="N7" i="1"/>
  <c r="Q7" i="1" l="1"/>
  <c r="M9" i="1"/>
  <c r="N8" i="1"/>
  <c r="Q8" i="1" l="1"/>
  <c r="N9" i="1"/>
  <c r="M10" i="1"/>
  <c r="Q9" i="1" l="1"/>
  <c r="M11" i="1"/>
  <c r="N10" i="1"/>
  <c r="Q10" i="1" l="1"/>
  <c r="N11" i="1"/>
  <c r="M12" i="1"/>
  <c r="Q11" i="1" l="1"/>
  <c r="M13" i="1"/>
  <c r="N12" i="1"/>
  <c r="Q12" i="1" l="1"/>
  <c r="M14" i="1"/>
  <c r="N13" i="1"/>
  <c r="Q13" i="1" l="1"/>
  <c r="M15" i="1"/>
  <c r="N14" i="1"/>
  <c r="Q14" i="1" l="1"/>
  <c r="M16" i="1"/>
  <c r="N15" i="1"/>
  <c r="Q15" i="1" l="1"/>
  <c r="M17" i="1"/>
  <c r="N16" i="1"/>
  <c r="Q16" i="1" l="1"/>
  <c r="M18" i="1"/>
  <c r="N17" i="1"/>
  <c r="Q17" i="1" l="1"/>
  <c r="M19" i="1"/>
  <c r="N18" i="1"/>
  <c r="Q18" i="1" l="1"/>
  <c r="M20" i="1"/>
  <c r="N19" i="1"/>
  <c r="Q19" i="1" l="1"/>
  <c r="M21" i="1"/>
  <c r="N20" i="1"/>
  <c r="Q20" i="1" l="1"/>
  <c r="M22" i="1"/>
  <c r="N21" i="1"/>
  <c r="Q21" i="1" l="1"/>
  <c r="M23" i="1"/>
  <c r="N22" i="1"/>
  <c r="Q22" i="1" l="1"/>
  <c r="M24" i="1"/>
  <c r="N23" i="1"/>
  <c r="Q23" i="1" l="1"/>
  <c r="M25" i="1"/>
  <c r="N24" i="1"/>
  <c r="Q24" i="1" l="1"/>
  <c r="M26" i="1"/>
  <c r="N25" i="1"/>
  <c r="Q25" i="1" l="1"/>
  <c r="M27" i="1"/>
  <c r="N26" i="1"/>
  <c r="Q26" i="1" l="1"/>
  <c r="M28" i="1"/>
  <c r="N27" i="1"/>
  <c r="Q27" i="1" l="1"/>
  <c r="M29" i="1"/>
  <c r="N28" i="1"/>
  <c r="Q28" i="1" l="1"/>
  <c r="M30" i="1"/>
  <c r="N29" i="1"/>
  <c r="Q29" i="1" l="1"/>
  <c r="M31" i="1"/>
  <c r="N30" i="1"/>
  <c r="Q30" i="1" l="1"/>
  <c r="M32" i="1"/>
  <c r="N31" i="1"/>
  <c r="Q31" i="1" l="1"/>
  <c r="M33" i="1"/>
  <c r="N32" i="1"/>
  <c r="Q32" i="1" l="1"/>
  <c r="M34" i="1"/>
  <c r="N33" i="1"/>
  <c r="Q33" i="1" l="1"/>
  <c r="M35" i="1"/>
  <c r="N34" i="1"/>
  <c r="Q34" i="1" l="1"/>
  <c r="M36" i="1"/>
  <c r="N35" i="1"/>
  <c r="Q35" i="1" l="1"/>
  <c r="M37" i="1"/>
  <c r="N36" i="1"/>
  <c r="Q36" i="1" l="1"/>
  <c r="M38" i="1"/>
  <c r="N37" i="1"/>
  <c r="Q37" i="1" l="1"/>
  <c r="M39" i="1"/>
  <c r="N38" i="1"/>
  <c r="Q38" i="1" l="1"/>
  <c r="M40" i="1"/>
  <c r="N39" i="1"/>
  <c r="Q39" i="1" l="1"/>
  <c r="M41" i="1"/>
  <c r="N40" i="1"/>
  <c r="Q40" i="1" l="1"/>
  <c r="M42" i="1"/>
  <c r="N41" i="1"/>
  <c r="Q41" i="1" l="1"/>
  <c r="M43" i="1"/>
  <c r="N42" i="1"/>
  <c r="Q42" i="1" l="1"/>
  <c r="M44" i="1"/>
  <c r="N43" i="1"/>
  <c r="Q43" i="1" l="1"/>
  <c r="M45" i="1"/>
  <c r="N44" i="1"/>
  <c r="Q44" i="1" l="1"/>
  <c r="M46" i="1"/>
  <c r="N45" i="1"/>
  <c r="Q45" i="1" l="1"/>
  <c r="M47" i="1"/>
  <c r="N46" i="1"/>
  <c r="Q46" i="1" l="1"/>
  <c r="M48" i="1"/>
  <c r="N47" i="1"/>
  <c r="Q47" i="1" l="1"/>
  <c r="M49" i="1"/>
  <c r="N48" i="1"/>
  <c r="Q48" i="1" l="1"/>
  <c r="M50" i="1"/>
  <c r="N49" i="1"/>
  <c r="Q49" i="1" l="1"/>
  <c r="M51" i="1"/>
  <c r="N50" i="1"/>
  <c r="Q50" i="1" l="1"/>
  <c r="M52" i="1"/>
  <c r="N51" i="1"/>
  <c r="Q51" i="1" l="1"/>
  <c r="M53" i="1"/>
  <c r="N52" i="1"/>
  <c r="Q52" i="1" l="1"/>
  <c r="M54" i="1"/>
  <c r="N53" i="1"/>
  <c r="Q53" i="1" l="1"/>
  <c r="M55" i="1"/>
  <c r="N54" i="1"/>
  <c r="Q54" i="1" l="1"/>
  <c r="M56" i="1"/>
  <c r="N55" i="1"/>
  <c r="Q55" i="1" l="1"/>
  <c r="M57" i="1"/>
  <c r="N56" i="1"/>
  <c r="Q56" i="1" l="1"/>
  <c r="M58" i="1"/>
  <c r="N57" i="1"/>
  <c r="Q57" i="1" l="1"/>
  <c r="M59" i="1"/>
  <c r="N58" i="1"/>
  <c r="Q58" i="1" l="1"/>
  <c r="M60" i="1"/>
  <c r="N59" i="1"/>
  <c r="Q59" i="1" l="1"/>
  <c r="M61" i="1"/>
  <c r="N60" i="1"/>
  <c r="Q60" i="1" l="1"/>
  <c r="M62" i="1"/>
  <c r="N61" i="1"/>
  <c r="Q61" i="1" l="1"/>
  <c r="M63" i="1"/>
  <c r="N62" i="1"/>
  <c r="Q62" i="1" l="1"/>
  <c r="M64" i="1"/>
  <c r="N63" i="1"/>
  <c r="Q63" i="1" l="1"/>
  <c r="M65" i="1"/>
  <c r="N64" i="1"/>
  <c r="Q64" i="1" l="1"/>
  <c r="M66" i="1"/>
  <c r="N65" i="1"/>
  <c r="Q65" i="1" l="1"/>
  <c r="M67" i="1"/>
  <c r="N66" i="1"/>
  <c r="Q66" i="1" l="1"/>
  <c r="M68" i="1"/>
  <c r="N67" i="1"/>
  <c r="Q67" i="1" l="1"/>
  <c r="M69" i="1"/>
  <c r="N68" i="1"/>
  <c r="Q68" i="1" l="1"/>
  <c r="M70" i="1"/>
  <c r="N69" i="1"/>
  <c r="Q69" i="1" l="1"/>
  <c r="M71" i="1"/>
  <c r="N70" i="1"/>
  <c r="Q70" i="1" l="1"/>
  <c r="M72" i="1"/>
  <c r="N71" i="1"/>
  <c r="Q71" i="1" l="1"/>
  <c r="M73" i="1"/>
  <c r="N72" i="1"/>
  <c r="Q72" i="1" l="1"/>
  <c r="M74" i="1"/>
  <c r="N73" i="1"/>
  <c r="Q73" i="1" l="1"/>
  <c r="M75" i="1"/>
  <c r="N74" i="1"/>
  <c r="Q74" i="1" l="1"/>
  <c r="M76" i="1"/>
  <c r="N75" i="1"/>
  <c r="Q75" i="1" l="1"/>
  <c r="M77" i="1"/>
  <c r="N77" i="1" s="1"/>
  <c r="N76" i="1"/>
  <c r="Q77" i="1" l="1"/>
  <c r="Q76" i="1"/>
  <c r="R2" i="1" l="1"/>
</calcChain>
</file>

<file path=xl/sharedStrings.xml><?xml version="1.0" encoding="utf-8"?>
<sst xmlns="http://schemas.openxmlformats.org/spreadsheetml/2006/main" count="21" uniqueCount="21">
  <si>
    <t>Lock</t>
  </si>
  <si>
    <t>Miles</t>
  </si>
  <si>
    <t>63+1⁄3</t>
  </si>
  <si>
    <t>64+2⁄3</t>
  </si>
  <si>
    <t>Gap</t>
  </si>
  <si>
    <t>Sorted</t>
  </si>
  <si>
    <t>x</t>
  </si>
  <si>
    <t>Cumulative</t>
  </si>
  <si>
    <t>Area</t>
  </si>
  <si>
    <t>Gini</t>
  </si>
  <si>
    <t>Lorenz Curve</t>
  </si>
  <si>
    <t>Line of Equality</t>
  </si>
  <si>
    <t>Spatial Lorenz Curve</t>
  </si>
  <si>
    <t>Spatial Gini</t>
  </si>
  <si>
    <t>Area under Lorenz</t>
  </si>
  <si>
    <t>Area under Equality</t>
  </si>
  <si>
    <t>Abs diff</t>
  </si>
  <si>
    <t>Slope</t>
  </si>
  <si>
    <t>CV</t>
  </si>
  <si>
    <t>Sigma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</si>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</sst>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Sheet1!$W$2:$W$77</c:f>
              <c:numCache>
                <c:formatCode>General</c:formatCode>
                <c:ptCount val="76"/>
                <c:pt idx="0">
                  <c:v>1</c:v>
                </c:pt>
                <c:pt idx="1">
                  <c:v>0.92069838991904274</c:v>
                </c:pt>
                <c:pt idx="2">
                  <c:v>0.71857074963278211</c:v>
                </c:pt>
                <c:pt idx="3">
                  <c:v>0.47539701783963584</c:v>
                </c:pt>
                <c:pt idx="4">
                  <c:v>0.2666110460216074</c:v>
                </c:pt>
                <c:pt idx="5">
                  <c:v>0.12674609620177807</c:v>
                </c:pt>
                <c:pt idx="6">
                  <c:v>5.1077050711413836E-2</c:v>
                </c:pt>
                <c:pt idx="7">
                  <c:v>1.7448246981080245E-2</c:v>
                </c:pt>
                <c:pt idx="8">
                  <c:v>5.0525725143042762E-3</c:v>
                </c:pt>
                <c:pt idx="9">
                  <c:v>1.2402466929433869E-3</c:v>
                </c:pt>
                <c:pt idx="10">
                  <c:v>2.5807050253621522E-4</c:v>
                </c:pt>
                <c:pt idx="11">
                  <c:v>4.552012276872128E-5</c:v>
                </c:pt>
                <c:pt idx="12">
                  <c:v>6.8061771589212268E-6</c:v>
                </c:pt>
                <c:pt idx="13">
                  <c:v>8.6265638495097351E-7</c:v>
                </c:pt>
                <c:pt idx="14">
                  <c:v>9.2684518975104538E-8</c:v>
                </c:pt>
                <c:pt idx="15">
                  <c:v>8.4413387129388763E-9</c:v>
                </c:pt>
                <c:pt idx="16">
                  <c:v>6.5170375125127662E-10</c:v>
                </c:pt>
                <c:pt idx="17">
                  <c:v>4.2650475964927554E-11</c:v>
                </c:pt>
                <c:pt idx="18">
                  <c:v>2.3660957242665438E-12</c:v>
                </c:pt>
                <c:pt idx="19">
                  <c:v>1.1126933864319353E-13</c:v>
                </c:pt>
                <c:pt idx="20">
                  <c:v>4.4356111861497199E-15</c:v>
                </c:pt>
                <c:pt idx="21">
                  <c:v>1.4988777083704181E-16</c:v>
                </c:pt>
                <c:pt idx="22">
                  <c:v>4.2935220612432583E-18</c:v>
                </c:pt>
                <c:pt idx="23">
                  <c:v>1.0425477711355987E-19</c:v>
                </c:pt>
                <c:pt idx="24">
                  <c:v>2.1459173785074579E-21</c:v>
                </c:pt>
                <c:pt idx="25">
                  <c:v>3.7442496421190356E-23</c:v>
                </c:pt>
                <c:pt idx="26">
                  <c:v>5.5379797627261529E-25</c:v>
                </c:pt>
                <c:pt idx="27">
                  <c:v>6.9434082187153023E-27</c:v>
                </c:pt>
                <c:pt idx="28">
                  <c:v>7.3795316766815504E-29</c:v>
                </c:pt>
                <c:pt idx="29">
                  <c:v>6.6484387299183308E-31</c:v>
                </c:pt>
                <c:pt idx="30">
                  <c:v>5.0774459339157848E-33</c:v>
                </c:pt>
                <c:pt idx="31">
                  <c:v>3.2870454702632267E-35</c:v>
                </c:pt>
                <c:pt idx="32">
                  <c:v>1.8038519213420785E-37</c:v>
                </c:pt>
                <c:pt idx="33">
                  <c:v>8.391330417055449E-40</c:v>
                </c:pt>
                <c:pt idx="34">
                  <c:v>3.3089905619084469E-42</c:v>
                </c:pt>
                <c:pt idx="35">
                  <c:v>1.1061015528391273E-44</c:v>
                </c:pt>
                <c:pt idx="36">
                  <c:v>3.1342183066951225E-47</c:v>
                </c:pt>
                <c:pt idx="37">
                  <c:v>7.5283231243809953E-50</c:v>
                </c:pt>
                <c:pt idx="38">
                  <c:v>1.5328583602851426E-52</c:v>
                </c:pt>
                <c:pt idx="39">
                  <c:v>2.6456998327107269E-55</c:v>
                </c:pt>
                <c:pt idx="40">
                  <c:v>3.8709171862620349E-58</c:v>
                </c:pt>
                <c:pt idx="41">
                  <c:v>4.8008922389192647E-61</c:v>
                </c:pt>
                <c:pt idx="42">
                  <c:v>5.0473660582905875E-64</c:v>
                </c:pt>
                <c:pt idx="43">
                  <c:v>4.4982378471731291E-67</c:v>
                </c:pt>
                <c:pt idx="44">
                  <c:v>3.3982458487104269E-70</c:v>
                </c:pt>
                <c:pt idx="45">
                  <c:v>2.176215714995487E-73</c:v>
                </c:pt>
                <c:pt idx="46">
                  <c:v>1.1813643378502378E-76</c:v>
                </c:pt>
                <c:pt idx="47">
                  <c:v>5.4362639904121688E-80</c:v>
                </c:pt>
                <c:pt idx="48">
                  <c:v>2.1205669452943073E-83</c:v>
                </c:pt>
                <c:pt idx="49">
                  <c:v>7.0119402053386169E-87</c:v>
                </c:pt>
                <c:pt idx="50">
                  <c:v>1.9654372727910898E-90</c:v>
                </c:pt>
                <c:pt idx="51">
                  <c:v>4.6699791221899154E-94</c:v>
                </c:pt>
                <c:pt idx="52">
                  <c:v>9.4060104635266356E-98</c:v>
                </c:pt>
                <c:pt idx="53">
                  <c:v>1.6059452804101614E-101</c:v>
                </c:pt>
                <c:pt idx="54">
                  <c:v>2.3242925846781095E-105</c:v>
                </c:pt>
                <c:pt idx="55">
                  <c:v>2.8515803754916621E-109</c:v>
                </c:pt>
                <c:pt idx="56">
                  <c:v>2.9656179739089019E-113</c:v>
                </c:pt>
                <c:pt idx="57">
                  <c:v>2.6144453037233405E-117</c:v>
                </c:pt>
                <c:pt idx="58">
                  <c:v>1.9537936020393253E-121</c:v>
                </c:pt>
                <c:pt idx="59">
                  <c:v>1.2376919694409941E-125</c:v>
                </c:pt>
                <c:pt idx="60">
                  <c:v>6.6463197405140669E-130</c:v>
                </c:pt>
                <c:pt idx="61">
                  <c:v>3.02541290548368E-134</c:v>
                </c:pt>
                <c:pt idx="62">
                  <c:v>1.1674084893879524E-138</c:v>
                </c:pt>
                <c:pt idx="63">
                  <c:v>3.8185264795618992E-143</c:v>
                </c:pt>
                <c:pt idx="64">
                  <c:v>1.0587746469856925E-147</c:v>
                </c:pt>
                <c:pt idx="65">
                  <c:v>2.4885480309827767E-152</c:v>
                </c:pt>
                <c:pt idx="66">
                  <c:v>4.9581914125968838E-157</c:v>
                </c:pt>
                <c:pt idx="67">
                  <c:v>8.3740455259489122E-162</c:v>
                </c:pt>
                <c:pt idx="68">
                  <c:v>1.1988976633779913E-166</c:v>
                </c:pt>
                <c:pt idx="69">
                  <c:v>1.4550022913743906E-171</c:v>
                </c:pt>
                <c:pt idx="70">
                  <c:v>1.4968559503363868E-176</c:v>
                </c:pt>
                <c:pt idx="71">
                  <c:v>1.3053624219012353E-181</c:v>
                </c:pt>
                <c:pt idx="72">
                  <c:v>9.649770215020422E-187</c:v>
                </c:pt>
                <c:pt idx="73">
                  <c:v>6.0469670861175472E-192</c:v>
                </c:pt>
                <c:pt idx="74">
                  <c:v>3.2121291969491943E-197</c:v>
                </c:pt>
                <c:pt idx="75">
                  <c:v>1.4463825466191028E-202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3-9943-9255-FE3A1862D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624784"/>
        <c:axId val="1179136224"/>
      </c:scatterChart>
      <c:valAx>
        <c:axId val="117962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136224"/>
        <c:crosses val="autoZero"/>
        <c:crossBetween val="midCat"/>
      </c:valAx>
      <c:valAx>
        <c:axId val="11791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Lorenz Curve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Sheet1!$K$2:$K$77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xVal>
          <c:yVal>
            <c:numRef>
              <c:f>Sheet1!$N$2:$N$77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2.1680216802168011E-4</c:v>
                </c:pt>
                <c:pt idx="6">
                  <c:v>4.878048780487806E-4</c:v>
                </c:pt>
                <c:pt idx="7">
                  <c:v>8.6720867208672108E-4</c:v>
                </c:pt>
                <c:pt idx="8">
                  <c:v>1.300813008130082E-3</c:v>
                </c:pt>
                <c:pt idx="9">
                  <c:v>1.7344173441734426E-3</c:v>
                </c:pt>
                <c:pt idx="10">
                  <c:v>2.2222222222222222E-3</c:v>
                </c:pt>
                <c:pt idx="11">
                  <c:v>2.764227642276392E-3</c:v>
                </c:pt>
                <c:pt idx="12">
                  <c:v>3.3062330623305617E-3</c:v>
                </c:pt>
                <c:pt idx="13">
                  <c:v>3.8482384823847315E-3</c:v>
                </c:pt>
                <c:pt idx="14">
                  <c:v>4.3902439024389017E-3</c:v>
                </c:pt>
                <c:pt idx="15">
                  <c:v>4.9322493224930996E-3</c:v>
                </c:pt>
                <c:pt idx="16">
                  <c:v>5.4742547425473088E-3</c:v>
                </c:pt>
                <c:pt idx="17">
                  <c:v>6.0704607046069264E-3</c:v>
                </c:pt>
                <c:pt idx="18">
                  <c:v>6.775067750677391E-3</c:v>
                </c:pt>
                <c:pt idx="19">
                  <c:v>7.5338753387532752E-3</c:v>
                </c:pt>
                <c:pt idx="20">
                  <c:v>8.3468834688345782E-3</c:v>
                </c:pt>
                <c:pt idx="21">
                  <c:v>9.1598915989159098E-3</c:v>
                </c:pt>
                <c:pt idx="22">
                  <c:v>1.0135501355013479E-2</c:v>
                </c:pt>
                <c:pt idx="23">
                  <c:v>1.1544715447154351E-2</c:v>
                </c:pt>
                <c:pt idx="24">
                  <c:v>1.3170731707316859E-2</c:v>
                </c:pt>
                <c:pt idx="25">
                  <c:v>1.4796747967479523E-2</c:v>
                </c:pt>
                <c:pt idx="26">
                  <c:v>1.6422764227642186E-2</c:v>
                </c:pt>
                <c:pt idx="27">
                  <c:v>1.8157181571815621E-2</c:v>
                </c:pt>
                <c:pt idx="28">
                  <c:v>2.0162601626016158E-2</c:v>
                </c:pt>
                <c:pt idx="29">
                  <c:v>2.2222222222222119E-2</c:v>
                </c:pt>
                <c:pt idx="30">
                  <c:v>2.4336043360433504E-2</c:v>
                </c:pt>
                <c:pt idx="31">
                  <c:v>2.650406504065031E-2</c:v>
                </c:pt>
                <c:pt idx="32">
                  <c:v>2.9051490514905083E-2</c:v>
                </c:pt>
                <c:pt idx="33">
                  <c:v>3.2520325203251967E-2</c:v>
                </c:pt>
                <c:pt idx="34">
                  <c:v>3.6639566395663882E-2</c:v>
                </c:pt>
                <c:pt idx="35">
                  <c:v>4.1355013550135412E-2</c:v>
                </c:pt>
                <c:pt idx="36">
                  <c:v>4.6775067750677427E-2</c:v>
                </c:pt>
                <c:pt idx="37">
                  <c:v>5.2737127371273597E-2</c:v>
                </c:pt>
                <c:pt idx="38">
                  <c:v>5.994579945799447E-2</c:v>
                </c:pt>
                <c:pt idx="39">
                  <c:v>6.7262872628726142E-2</c:v>
                </c:pt>
                <c:pt idx="40">
                  <c:v>7.4742547425474093E-2</c:v>
                </c:pt>
                <c:pt idx="41">
                  <c:v>8.341463414634126E-2</c:v>
                </c:pt>
                <c:pt idx="42">
                  <c:v>9.2086720867208469E-2</c:v>
                </c:pt>
                <c:pt idx="43">
                  <c:v>0.10287262872628707</c:v>
                </c:pt>
                <c:pt idx="44">
                  <c:v>0.11425474254742529</c:v>
                </c:pt>
                <c:pt idx="45">
                  <c:v>0.12617886178861765</c:v>
                </c:pt>
                <c:pt idx="46">
                  <c:v>0.13826558265582631</c:v>
                </c:pt>
                <c:pt idx="47">
                  <c:v>0.15094850948509458</c:v>
                </c:pt>
                <c:pt idx="48">
                  <c:v>0.1644444444444442</c:v>
                </c:pt>
                <c:pt idx="49">
                  <c:v>0.17907859078590754</c:v>
                </c:pt>
                <c:pt idx="50">
                  <c:v>0.19528455284552815</c:v>
                </c:pt>
                <c:pt idx="51">
                  <c:v>0.21154471544715417</c:v>
                </c:pt>
                <c:pt idx="52">
                  <c:v>0.22780487804878019</c:v>
                </c:pt>
                <c:pt idx="53">
                  <c:v>0.24406504065040621</c:v>
                </c:pt>
                <c:pt idx="54">
                  <c:v>0.2608672086720864</c:v>
                </c:pt>
                <c:pt idx="55">
                  <c:v>0.27929539295392924</c:v>
                </c:pt>
                <c:pt idx="56">
                  <c:v>0.30054200542005383</c:v>
                </c:pt>
                <c:pt idx="57">
                  <c:v>0.32211382113821102</c:v>
                </c:pt>
                <c:pt idx="58">
                  <c:v>0.34379403794037899</c:v>
                </c:pt>
                <c:pt idx="59">
                  <c:v>0.36607046070460669</c:v>
                </c:pt>
                <c:pt idx="60">
                  <c:v>0.39024390243902402</c:v>
                </c:pt>
                <c:pt idx="61">
                  <c:v>0.41474254742547384</c:v>
                </c:pt>
                <c:pt idx="62">
                  <c:v>0.44021680216802139</c:v>
                </c:pt>
                <c:pt idx="63">
                  <c:v>0.46953929539295358</c:v>
                </c:pt>
                <c:pt idx="64">
                  <c:v>0.50037940379403767</c:v>
                </c:pt>
                <c:pt idx="65">
                  <c:v>0.534742547425474</c:v>
                </c:pt>
                <c:pt idx="66">
                  <c:v>0.57322493224932236</c:v>
                </c:pt>
                <c:pt idx="67">
                  <c:v>0.61197831978319772</c:v>
                </c:pt>
                <c:pt idx="68">
                  <c:v>0.65208672086720854</c:v>
                </c:pt>
                <c:pt idx="69">
                  <c:v>0.69219512195121935</c:v>
                </c:pt>
                <c:pt idx="70">
                  <c:v>0.73539295392953918</c:v>
                </c:pt>
                <c:pt idx="71">
                  <c:v>0.77897018970189691</c:v>
                </c:pt>
                <c:pt idx="72">
                  <c:v>0.8255826558265581</c:v>
                </c:pt>
                <c:pt idx="73">
                  <c:v>0.87382113821138196</c:v>
                </c:pt>
                <c:pt idx="74">
                  <c:v>0.92525745257452563</c:v>
                </c:pt>
                <c:pt idx="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6-7F4D-B257-83C2606E23B9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Line of Equality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Sheet1!$K$2:$K$77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xVal>
          <c:yVal>
            <c:numRef>
              <c:f>Sheet1!$O$2:$O$77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C6-7F4D-B257-83C2606E2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430912"/>
        <c:axId val="517706047"/>
      </c:scatterChart>
      <c:valAx>
        <c:axId val="1674430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06047"/>
        <c:crosses val="autoZero"/>
        <c:crossBetween val="midCat"/>
        <c:majorUnit val="0.1"/>
      </c:valAx>
      <c:valAx>
        <c:axId val="517706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3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45681109748701"/>
          <c:y val="0.77622854835453259"/>
          <c:w val="0.16595825146622151"/>
          <c:h val="7.1928034135397875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Spatial Lorenz Curve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Sheet1!$K$2:$K$77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xVal>
          <c:yVal>
            <c:numRef>
              <c:f>Sheet1!$D$2:$D$77</c:f>
              <c:numCache>
                <c:formatCode>General</c:formatCode>
                <c:ptCount val="76"/>
                <c:pt idx="0">
                  <c:v>0</c:v>
                </c:pt>
                <c:pt idx="1">
                  <c:v>2.0596205962059621E-3</c:v>
                </c:pt>
                <c:pt idx="2">
                  <c:v>2.2764227642276423E-3</c:v>
                </c:pt>
                <c:pt idx="3">
                  <c:v>2.6558265582655827E-3</c:v>
                </c:pt>
                <c:pt idx="4">
                  <c:v>2.9268292682926829E-3</c:v>
                </c:pt>
                <c:pt idx="5">
                  <c:v>2.7100271002710029E-2</c:v>
                </c:pt>
                <c:pt idx="6">
                  <c:v>2.9268292682926831E-2</c:v>
                </c:pt>
                <c:pt idx="7">
                  <c:v>3.7940379403794036E-2</c:v>
                </c:pt>
                <c:pt idx="8">
                  <c:v>4.5149051490514902E-2</c:v>
                </c:pt>
                <c:pt idx="9">
                  <c:v>4.7154471544715443E-2</c:v>
                </c:pt>
                <c:pt idx="10">
                  <c:v>4.7642276422764224E-2</c:v>
                </c:pt>
                <c:pt idx="11">
                  <c:v>4.8617886178861792E-2</c:v>
                </c:pt>
                <c:pt idx="12">
                  <c:v>5.0352303523035227E-2</c:v>
                </c:pt>
                <c:pt idx="13">
                  <c:v>5.0785907859078584E-2</c:v>
                </c:pt>
                <c:pt idx="14">
                  <c:v>5.1327913279132796E-2</c:v>
                </c:pt>
                <c:pt idx="15">
                  <c:v>7.289972899728997E-2</c:v>
                </c:pt>
                <c:pt idx="16">
                  <c:v>7.3712737127371267E-2</c:v>
                </c:pt>
                <c:pt idx="17">
                  <c:v>7.5826558265582655E-2</c:v>
                </c:pt>
                <c:pt idx="18">
                  <c:v>7.6368563685636853E-2</c:v>
                </c:pt>
                <c:pt idx="19">
                  <c:v>7.6802168021680217E-2</c:v>
                </c:pt>
                <c:pt idx="20">
                  <c:v>7.750677506775068E-2</c:v>
                </c:pt>
                <c:pt idx="21">
                  <c:v>9.018970189701897E-2</c:v>
                </c:pt>
                <c:pt idx="22">
                  <c:v>0.10639566395663956</c:v>
                </c:pt>
                <c:pt idx="23">
                  <c:v>0.11989159891598916</c:v>
                </c:pt>
                <c:pt idx="24">
                  <c:v>0.12336043360433604</c:v>
                </c:pt>
                <c:pt idx="25">
                  <c:v>0.16693766937669377</c:v>
                </c:pt>
                <c:pt idx="26">
                  <c:v>0.21355013550135502</c:v>
                </c:pt>
                <c:pt idx="27">
                  <c:v>0.22493224932249323</c:v>
                </c:pt>
                <c:pt idx="28">
                  <c:v>0.26504065040650404</c:v>
                </c:pt>
                <c:pt idx="29">
                  <c:v>0.27582655826558267</c:v>
                </c:pt>
                <c:pt idx="30">
                  <c:v>0.29810298102981031</c:v>
                </c:pt>
                <c:pt idx="31">
                  <c:v>0.3143631436314363</c:v>
                </c:pt>
                <c:pt idx="32">
                  <c:v>0.32644986449864499</c:v>
                </c:pt>
                <c:pt idx="33">
                  <c:v>0.32899728997289973</c:v>
                </c:pt>
                <c:pt idx="34">
                  <c:v>0.33371273712737126</c:v>
                </c:pt>
                <c:pt idx="35">
                  <c:v>0.33783197831978318</c:v>
                </c:pt>
                <c:pt idx="36">
                  <c:v>0.33842818428184279</c:v>
                </c:pt>
                <c:pt idx="37">
                  <c:v>0.36292682926829267</c:v>
                </c:pt>
                <c:pt idx="38">
                  <c:v>0.3937669376693767</c:v>
                </c:pt>
                <c:pt idx="39">
                  <c:v>0.40108401084010842</c:v>
                </c:pt>
                <c:pt idx="40">
                  <c:v>0.43040650406504061</c:v>
                </c:pt>
                <c:pt idx="41">
                  <c:v>0.48184281842818433</c:v>
                </c:pt>
                <c:pt idx="42">
                  <c:v>0.48260162601626022</c:v>
                </c:pt>
                <c:pt idx="43">
                  <c:v>0.5038482384823848</c:v>
                </c:pt>
                <c:pt idx="44">
                  <c:v>0.53821138211382114</c:v>
                </c:pt>
                <c:pt idx="45">
                  <c:v>0.58140921409214086</c:v>
                </c:pt>
                <c:pt idx="46">
                  <c:v>0.5822222222222222</c:v>
                </c:pt>
                <c:pt idx="47">
                  <c:v>0.58970189701897013</c:v>
                </c:pt>
                <c:pt idx="48">
                  <c:v>0.58970189701897013</c:v>
                </c:pt>
                <c:pt idx="49">
                  <c:v>0.58970189701897013</c:v>
                </c:pt>
                <c:pt idx="50">
                  <c:v>0.58970189701897013</c:v>
                </c:pt>
                <c:pt idx="51">
                  <c:v>0.6644444444444445</c:v>
                </c:pt>
                <c:pt idx="52">
                  <c:v>0.66585365853658529</c:v>
                </c:pt>
                <c:pt idx="53">
                  <c:v>0.70460704607046065</c:v>
                </c:pt>
                <c:pt idx="54">
                  <c:v>0.72628726287262868</c:v>
                </c:pt>
                <c:pt idx="55">
                  <c:v>0.72628726287262868</c:v>
                </c:pt>
                <c:pt idx="56">
                  <c:v>0.73821138211382109</c:v>
                </c:pt>
                <c:pt idx="57">
                  <c:v>0.75447154471544708</c:v>
                </c:pt>
                <c:pt idx="58">
                  <c:v>0.77994579945799458</c:v>
                </c:pt>
                <c:pt idx="59">
                  <c:v>0.79457994579945801</c:v>
                </c:pt>
                <c:pt idx="60">
                  <c:v>0.81138211382113812</c:v>
                </c:pt>
                <c:pt idx="61">
                  <c:v>0.82981029810298101</c:v>
                </c:pt>
                <c:pt idx="62">
                  <c:v>0.83577235772357716</c:v>
                </c:pt>
                <c:pt idx="63">
                  <c:v>0.83739837398373984</c:v>
                </c:pt>
                <c:pt idx="64">
                  <c:v>0.83794037940379396</c:v>
                </c:pt>
                <c:pt idx="65">
                  <c:v>0.83848238482384818</c:v>
                </c:pt>
                <c:pt idx="66">
                  <c:v>0.87696476964769654</c:v>
                </c:pt>
                <c:pt idx="67">
                  <c:v>0.89322493224932253</c:v>
                </c:pt>
                <c:pt idx="68">
                  <c:v>0.9018970189701897</c:v>
                </c:pt>
                <c:pt idx="69">
                  <c:v>0.90352303523035227</c:v>
                </c:pt>
                <c:pt idx="70">
                  <c:v>0.90514905149051494</c:v>
                </c:pt>
                <c:pt idx="71">
                  <c:v>0.94525745257452576</c:v>
                </c:pt>
                <c:pt idx="72">
                  <c:v>0.95067750677506779</c:v>
                </c:pt>
                <c:pt idx="73">
                  <c:v>0.95121951219512191</c:v>
                </c:pt>
                <c:pt idx="74">
                  <c:v>0.95176151761517613</c:v>
                </c:pt>
                <c:pt idx="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C-A743-94C9-98A757B3EBB3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Line of Equality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Sheet1!$K$2:$K$77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xVal>
          <c:yVal>
            <c:numRef>
              <c:f>Sheet1!$O$2:$O$77</c:f>
              <c:numCache>
                <c:formatCode>General</c:formatCode>
                <c:ptCount val="76"/>
                <c:pt idx="0">
                  <c:v>0</c:v>
                </c:pt>
                <c:pt idx="1">
                  <c:v>1.3333333333333334E-2</c:v>
                </c:pt>
                <c:pt idx="2">
                  <c:v>2.6666666666666668E-2</c:v>
                </c:pt>
                <c:pt idx="3">
                  <c:v>0.04</c:v>
                </c:pt>
                <c:pt idx="4">
                  <c:v>5.3333333333333337E-2</c:v>
                </c:pt>
                <c:pt idx="5">
                  <c:v>6.6666666666666666E-2</c:v>
                </c:pt>
                <c:pt idx="6">
                  <c:v>0.08</c:v>
                </c:pt>
                <c:pt idx="7">
                  <c:v>9.3333333333333338E-2</c:v>
                </c:pt>
                <c:pt idx="8">
                  <c:v>0.10666666666666667</c:v>
                </c:pt>
                <c:pt idx="9">
                  <c:v>0.12</c:v>
                </c:pt>
                <c:pt idx="10">
                  <c:v>0.13333333333333333</c:v>
                </c:pt>
                <c:pt idx="11">
                  <c:v>0.14666666666666667</c:v>
                </c:pt>
                <c:pt idx="12">
                  <c:v>0.16</c:v>
                </c:pt>
                <c:pt idx="13">
                  <c:v>0.17333333333333334</c:v>
                </c:pt>
                <c:pt idx="14">
                  <c:v>0.18666666666666668</c:v>
                </c:pt>
                <c:pt idx="15">
                  <c:v>0.2</c:v>
                </c:pt>
                <c:pt idx="16">
                  <c:v>0.21333333333333335</c:v>
                </c:pt>
                <c:pt idx="17">
                  <c:v>0.22666666666666666</c:v>
                </c:pt>
                <c:pt idx="18">
                  <c:v>0.24</c:v>
                </c:pt>
                <c:pt idx="19">
                  <c:v>0.25333333333333335</c:v>
                </c:pt>
                <c:pt idx="20">
                  <c:v>0.26666666666666666</c:v>
                </c:pt>
                <c:pt idx="21">
                  <c:v>0.28000000000000003</c:v>
                </c:pt>
                <c:pt idx="22">
                  <c:v>0.29333333333333333</c:v>
                </c:pt>
                <c:pt idx="23">
                  <c:v>0.30666666666666664</c:v>
                </c:pt>
                <c:pt idx="24">
                  <c:v>0.32</c:v>
                </c:pt>
                <c:pt idx="25">
                  <c:v>0.33333333333333331</c:v>
                </c:pt>
                <c:pt idx="26">
                  <c:v>0.34666666666666668</c:v>
                </c:pt>
                <c:pt idx="27">
                  <c:v>0.36</c:v>
                </c:pt>
                <c:pt idx="28">
                  <c:v>0.37333333333333335</c:v>
                </c:pt>
                <c:pt idx="29">
                  <c:v>0.38666666666666666</c:v>
                </c:pt>
                <c:pt idx="30">
                  <c:v>0.4</c:v>
                </c:pt>
                <c:pt idx="31">
                  <c:v>0.41333333333333333</c:v>
                </c:pt>
                <c:pt idx="32">
                  <c:v>0.42666666666666669</c:v>
                </c:pt>
                <c:pt idx="33">
                  <c:v>0.44</c:v>
                </c:pt>
                <c:pt idx="34">
                  <c:v>0.45333333333333331</c:v>
                </c:pt>
                <c:pt idx="35">
                  <c:v>0.46666666666666667</c:v>
                </c:pt>
                <c:pt idx="36">
                  <c:v>0.48</c:v>
                </c:pt>
                <c:pt idx="37">
                  <c:v>0.49333333333333335</c:v>
                </c:pt>
                <c:pt idx="38">
                  <c:v>0.50666666666666671</c:v>
                </c:pt>
                <c:pt idx="39">
                  <c:v>0.52</c:v>
                </c:pt>
                <c:pt idx="40">
                  <c:v>0.53333333333333333</c:v>
                </c:pt>
                <c:pt idx="41">
                  <c:v>0.54666666666666663</c:v>
                </c:pt>
                <c:pt idx="42">
                  <c:v>0.56000000000000005</c:v>
                </c:pt>
                <c:pt idx="43">
                  <c:v>0.57333333333333336</c:v>
                </c:pt>
                <c:pt idx="44">
                  <c:v>0.58666666666666667</c:v>
                </c:pt>
                <c:pt idx="45">
                  <c:v>0.6</c:v>
                </c:pt>
                <c:pt idx="46">
                  <c:v>0.61333333333333329</c:v>
                </c:pt>
                <c:pt idx="47">
                  <c:v>0.62666666666666671</c:v>
                </c:pt>
                <c:pt idx="48">
                  <c:v>0.64</c:v>
                </c:pt>
                <c:pt idx="49">
                  <c:v>0.65333333333333332</c:v>
                </c:pt>
                <c:pt idx="50">
                  <c:v>0.66666666666666663</c:v>
                </c:pt>
                <c:pt idx="51">
                  <c:v>0.68</c:v>
                </c:pt>
                <c:pt idx="52">
                  <c:v>0.69333333333333336</c:v>
                </c:pt>
                <c:pt idx="53">
                  <c:v>0.70666666666666667</c:v>
                </c:pt>
                <c:pt idx="54">
                  <c:v>0.72</c:v>
                </c:pt>
                <c:pt idx="55">
                  <c:v>0.73333333333333328</c:v>
                </c:pt>
                <c:pt idx="56">
                  <c:v>0.7466666666666667</c:v>
                </c:pt>
                <c:pt idx="57">
                  <c:v>0.76</c:v>
                </c:pt>
                <c:pt idx="58">
                  <c:v>0.77333333333333332</c:v>
                </c:pt>
                <c:pt idx="59">
                  <c:v>0.78666666666666663</c:v>
                </c:pt>
                <c:pt idx="60">
                  <c:v>0.8</c:v>
                </c:pt>
                <c:pt idx="61">
                  <c:v>0.81333333333333335</c:v>
                </c:pt>
                <c:pt idx="62">
                  <c:v>0.82666666666666666</c:v>
                </c:pt>
                <c:pt idx="63">
                  <c:v>0.84</c:v>
                </c:pt>
                <c:pt idx="64">
                  <c:v>0.85333333333333339</c:v>
                </c:pt>
                <c:pt idx="65">
                  <c:v>0.8666666666666667</c:v>
                </c:pt>
                <c:pt idx="66">
                  <c:v>0.88</c:v>
                </c:pt>
                <c:pt idx="67">
                  <c:v>0.89333333333333331</c:v>
                </c:pt>
                <c:pt idx="68">
                  <c:v>0.90666666666666662</c:v>
                </c:pt>
                <c:pt idx="69">
                  <c:v>0.92</c:v>
                </c:pt>
                <c:pt idx="70">
                  <c:v>0.93333333333333335</c:v>
                </c:pt>
                <c:pt idx="71">
                  <c:v>0.94666666666666666</c:v>
                </c:pt>
                <c:pt idx="72">
                  <c:v>0.96</c:v>
                </c:pt>
                <c:pt idx="73">
                  <c:v>0.97333333333333338</c:v>
                </c:pt>
                <c:pt idx="74">
                  <c:v>0.98666666666666669</c:v>
                </c:pt>
                <c:pt idx="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1C-A743-94C9-98A757B3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430912"/>
        <c:axId val="517706047"/>
      </c:scatterChart>
      <c:valAx>
        <c:axId val="1674430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06047"/>
        <c:crosses val="autoZero"/>
        <c:crossBetween val="midCat"/>
        <c:majorUnit val="0.1"/>
      </c:valAx>
      <c:valAx>
        <c:axId val="517706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43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64818070349089"/>
          <c:y val="0.77409179621778068"/>
          <c:w val="0.23725281056565867"/>
          <c:h val="7.1928034135397875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2374DA-780B-AB42-B4B3-E427B4FEE575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6FFE9E-5636-134A-A5DD-274E4410416C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387350</xdr:colOff>
      <xdr:row>12</xdr:row>
      <xdr:rowOff>190500</xdr:rowOff>
    </xdr:from>
    <xdr:to>
      <xdr:col>17</xdr:col>
      <xdr:colOff>6350</xdr:colOff>
      <xdr:row>26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9B511-F00D-0107-5CD4-6E1B32B58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28C37-06F4-DA55-401F-D2481CAA1F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73051-5046-2201-9686-478CEBE4A7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6FD5-9C84-D14F-B8CC-84EC705A7506}">
  <dimension ref="A1:W96"/>
  <sheetViews>
    <sheetView tabSelected="1" topLeftCell="A61" workbookViewId="0">
      <selection activeCell="C77" sqref="C3:C77"/>
    </sheetView>
  </sheetViews>
  <sheetFormatPr baseColWidth="10" defaultRowHeight="16" x14ac:dyDescent="0.2"/>
  <cols>
    <col min="7" max="7" width="12.1640625" bestFit="1" customWidth="1"/>
    <col min="8" max="9" width="12.1640625" customWidth="1"/>
  </cols>
  <sheetData>
    <row r="1" spans="1:23" x14ac:dyDescent="0.2">
      <c r="A1" t="s">
        <v>0</v>
      </c>
      <c r="B1" t="s">
        <v>1</v>
      </c>
      <c r="C1" t="s">
        <v>4</v>
      </c>
      <c r="D1" t="s">
        <v>12</v>
      </c>
      <c r="G1" t="s">
        <v>14</v>
      </c>
      <c r="H1" t="s">
        <v>15</v>
      </c>
      <c r="I1" t="s">
        <v>16</v>
      </c>
      <c r="J1" t="s">
        <v>13</v>
      </c>
      <c r="K1" t="s">
        <v>6</v>
      </c>
      <c r="L1" t="s">
        <v>5</v>
      </c>
      <c r="M1" t="s">
        <v>7</v>
      </c>
      <c r="N1" t="s">
        <v>10</v>
      </c>
      <c r="O1" t="s">
        <v>11</v>
      </c>
      <c r="Q1" t="s">
        <v>8</v>
      </c>
      <c r="R1" t="s">
        <v>9</v>
      </c>
      <c r="T1" t="s">
        <v>17</v>
      </c>
      <c r="V1" t="s">
        <v>19</v>
      </c>
      <c r="W1" t="s">
        <v>20</v>
      </c>
    </row>
    <row r="2" spans="1:23" x14ac:dyDescent="0.2">
      <c r="A2">
        <v>0</v>
      </c>
      <c r="B2">
        <v>0</v>
      </c>
      <c r="D2">
        <f>B2/184.5</f>
        <v>0</v>
      </c>
      <c r="E2">
        <v>0</v>
      </c>
      <c r="F2">
        <v>0</v>
      </c>
      <c r="J2">
        <f>2*SUM(I3:I77)</f>
        <v>0.14385112917795842</v>
      </c>
      <c r="K2">
        <v>0</v>
      </c>
      <c r="N2">
        <v>0</v>
      </c>
      <c r="O2">
        <v>0</v>
      </c>
      <c r="R2">
        <f>1-2*SUM(Q3:Q77)</f>
        <v>0.61308762420957563</v>
      </c>
      <c r="V2">
        <f>184.5/75</f>
        <v>2.46</v>
      </c>
      <c r="W2">
        <f>EXP(-(F2^2)/2/V$2^2)</f>
        <v>1</v>
      </c>
    </row>
    <row r="3" spans="1:23" x14ac:dyDescent="0.2">
      <c r="A3">
        <v>1</v>
      </c>
      <c r="B3">
        <v>0.38</v>
      </c>
      <c r="C3">
        <f>B3-B2</f>
        <v>0.38</v>
      </c>
      <c r="D3">
        <f t="shared" ref="D3:D66" si="0">B3/184.5</f>
        <v>2.0596205962059621E-3</v>
      </c>
      <c r="E3">
        <v>0</v>
      </c>
      <c r="F3">
        <v>1</v>
      </c>
      <c r="G3">
        <f>(D2+D3)/150</f>
        <v>1.3730803974706414E-5</v>
      </c>
      <c r="H3">
        <f>(K2+K3)/150</f>
        <v>8.8888888888888893E-5</v>
      </c>
      <c r="I3">
        <f>ABS(G3-H3)</f>
        <v>7.5158084914182484E-5</v>
      </c>
      <c r="K3">
        <f>F3/75</f>
        <v>1.3333333333333334E-2</v>
      </c>
      <c r="L3">
        <v>0</v>
      </c>
      <c r="M3">
        <f>L3</f>
        <v>0</v>
      </c>
      <c r="N3">
        <f>M3/184.5</f>
        <v>0</v>
      </c>
      <c r="O3">
        <f>F3/75</f>
        <v>1.3333333333333334E-2</v>
      </c>
      <c r="Q3">
        <f>(N2+N3)/150</f>
        <v>0</v>
      </c>
      <c r="T3">
        <f>C3/184.5*75</f>
        <v>0.15447154471544716</v>
      </c>
      <c r="W3">
        <f t="shared" ref="W3:W66" si="1">EXP(-(F3^2)/2/V$2^2)</f>
        <v>0.92069838991904274</v>
      </c>
    </row>
    <row r="4" spans="1:23" x14ac:dyDescent="0.2">
      <c r="A4">
        <v>2</v>
      </c>
      <c r="B4">
        <v>0.42</v>
      </c>
      <c r="C4">
        <f t="shared" ref="C4:C67" si="2">B4-B3</f>
        <v>3.999999999999998E-2</v>
      </c>
      <c r="D4">
        <f t="shared" si="0"/>
        <v>2.2764227642276423E-3</v>
      </c>
      <c r="E4">
        <v>0</v>
      </c>
      <c r="F4">
        <v>2</v>
      </c>
      <c r="G4">
        <f t="shared" ref="G4:G67" si="3">(D3+D4)/150</f>
        <v>2.8906955736224029E-5</v>
      </c>
      <c r="H4">
        <f t="shared" ref="H4:H67" si="4">(K3+K4)/150</f>
        <v>2.6666666666666668E-4</v>
      </c>
      <c r="I4">
        <f t="shared" ref="I4:I67" si="5">ABS(G4-H4)</f>
        <v>2.3775971093044265E-4</v>
      </c>
      <c r="K4">
        <f t="shared" ref="K4:K67" si="6">F4/75</f>
        <v>2.6666666666666668E-2</v>
      </c>
      <c r="L4">
        <v>0</v>
      </c>
      <c r="M4">
        <f>M3+L4</f>
        <v>0</v>
      </c>
      <c r="N4">
        <f t="shared" ref="N4:N67" si="7">M4/184.5</f>
        <v>0</v>
      </c>
      <c r="O4">
        <f t="shared" ref="O4:O67" si="8">F4/75</f>
        <v>2.6666666666666668E-2</v>
      </c>
      <c r="Q4">
        <f t="shared" ref="Q4:Q67" si="9">(N3+N4)/150</f>
        <v>0</v>
      </c>
      <c r="T4">
        <f t="shared" ref="T4:T67" si="10">C4/184.5*75</f>
        <v>1.6260162601626008E-2</v>
      </c>
      <c r="W4">
        <f t="shared" si="1"/>
        <v>0.71857074963278211</v>
      </c>
    </row>
    <row r="5" spans="1:23" x14ac:dyDescent="0.2">
      <c r="A5">
        <v>3</v>
      </c>
      <c r="B5">
        <v>0.49</v>
      </c>
      <c r="C5">
        <f t="shared" si="2"/>
        <v>7.0000000000000007E-2</v>
      </c>
      <c r="D5">
        <f t="shared" si="0"/>
        <v>2.6558265582655827E-3</v>
      </c>
      <c r="E5">
        <v>0</v>
      </c>
      <c r="F5">
        <v>3</v>
      </c>
      <c r="G5">
        <f t="shared" si="3"/>
        <v>3.2881662149954827E-5</v>
      </c>
      <c r="H5">
        <f t="shared" si="4"/>
        <v>4.4444444444444441E-4</v>
      </c>
      <c r="I5">
        <f t="shared" si="5"/>
        <v>4.1156278229448958E-4</v>
      </c>
      <c r="K5">
        <f t="shared" si="6"/>
        <v>0.04</v>
      </c>
      <c r="L5">
        <v>0</v>
      </c>
      <c r="M5">
        <f t="shared" ref="M5:M68" si="11">M4+L5</f>
        <v>0</v>
      </c>
      <c r="N5">
        <f t="shared" si="7"/>
        <v>0</v>
      </c>
      <c r="O5">
        <f t="shared" si="8"/>
        <v>0.04</v>
      </c>
      <c r="Q5">
        <f t="shared" si="9"/>
        <v>0</v>
      </c>
      <c r="T5">
        <f t="shared" si="10"/>
        <v>2.8455284552845534E-2</v>
      </c>
      <c r="W5">
        <f t="shared" si="1"/>
        <v>0.47539701783963584</v>
      </c>
    </row>
    <row r="6" spans="1:23" x14ac:dyDescent="0.2">
      <c r="A6">
        <v>4</v>
      </c>
      <c r="B6">
        <v>0.54</v>
      </c>
      <c r="C6">
        <f t="shared" si="2"/>
        <v>5.0000000000000044E-2</v>
      </c>
      <c r="D6">
        <f t="shared" si="0"/>
        <v>2.9268292682926829E-3</v>
      </c>
      <c r="E6">
        <v>0</v>
      </c>
      <c r="F6">
        <v>4</v>
      </c>
      <c r="G6">
        <f t="shared" si="3"/>
        <v>3.7217705510388432E-5</v>
      </c>
      <c r="H6">
        <f t="shared" si="4"/>
        <v>6.2222222222222225E-4</v>
      </c>
      <c r="I6">
        <f t="shared" si="5"/>
        <v>5.8500451671183377E-4</v>
      </c>
      <c r="K6">
        <f t="shared" si="6"/>
        <v>5.3333333333333337E-2</v>
      </c>
      <c r="L6">
        <v>0</v>
      </c>
      <c r="M6">
        <f t="shared" si="11"/>
        <v>0</v>
      </c>
      <c r="N6">
        <f t="shared" si="7"/>
        <v>0</v>
      </c>
      <c r="O6">
        <f t="shared" si="8"/>
        <v>5.3333333333333337E-2</v>
      </c>
      <c r="Q6">
        <f t="shared" si="9"/>
        <v>0</v>
      </c>
      <c r="T6">
        <f t="shared" si="10"/>
        <v>2.0325203252032537E-2</v>
      </c>
      <c r="W6">
        <f t="shared" si="1"/>
        <v>0.2666110460216074</v>
      </c>
    </row>
    <row r="7" spans="1:23" x14ac:dyDescent="0.2">
      <c r="A7">
        <v>5</v>
      </c>
      <c r="B7">
        <v>5</v>
      </c>
      <c r="C7">
        <f t="shared" si="2"/>
        <v>4.46</v>
      </c>
      <c r="D7">
        <f t="shared" si="0"/>
        <v>2.7100271002710029E-2</v>
      </c>
      <c r="E7">
        <v>0</v>
      </c>
      <c r="F7">
        <v>5</v>
      </c>
      <c r="G7">
        <f t="shared" si="3"/>
        <v>2.001806684733514E-4</v>
      </c>
      <c r="H7">
        <f t="shared" si="4"/>
        <v>7.9999999999999993E-4</v>
      </c>
      <c r="I7">
        <f t="shared" si="5"/>
        <v>5.998193315266485E-4</v>
      </c>
      <c r="K7">
        <f t="shared" si="6"/>
        <v>6.6666666666666666E-2</v>
      </c>
      <c r="L7">
        <v>3.999999999999998E-2</v>
      </c>
      <c r="M7">
        <f t="shared" si="11"/>
        <v>3.999999999999998E-2</v>
      </c>
      <c r="N7">
        <f t="shared" si="7"/>
        <v>2.1680216802168011E-4</v>
      </c>
      <c r="O7">
        <f t="shared" si="8"/>
        <v>6.6666666666666666E-2</v>
      </c>
      <c r="Q7">
        <f t="shared" si="9"/>
        <v>1.4453477868112008E-6</v>
      </c>
      <c r="T7">
        <f t="shared" si="10"/>
        <v>1.8130081300813008</v>
      </c>
      <c r="W7">
        <f t="shared" si="1"/>
        <v>0.12674609620177807</v>
      </c>
    </row>
    <row r="8" spans="1:23" x14ac:dyDescent="0.2">
      <c r="A8">
        <v>6</v>
      </c>
      <c r="B8">
        <v>5.4</v>
      </c>
      <c r="C8">
        <f t="shared" si="2"/>
        <v>0.40000000000000036</v>
      </c>
      <c r="D8">
        <f t="shared" si="0"/>
        <v>2.9268292682926831E-2</v>
      </c>
      <c r="E8">
        <v>0</v>
      </c>
      <c r="F8">
        <v>6</v>
      </c>
      <c r="G8">
        <f t="shared" si="3"/>
        <v>3.7579042457091242E-4</v>
      </c>
      <c r="H8">
        <f t="shared" si="4"/>
        <v>9.7777777777777772E-4</v>
      </c>
      <c r="I8">
        <f t="shared" si="5"/>
        <v>6.0198735320686524E-4</v>
      </c>
      <c r="K8">
        <f t="shared" si="6"/>
        <v>0.08</v>
      </c>
      <c r="L8">
        <v>5.0000000000000044E-2</v>
      </c>
      <c r="M8">
        <f t="shared" si="11"/>
        <v>9.0000000000000024E-2</v>
      </c>
      <c r="N8">
        <f t="shared" si="7"/>
        <v>4.878048780487806E-4</v>
      </c>
      <c r="O8">
        <f t="shared" si="8"/>
        <v>0.08</v>
      </c>
      <c r="Q8">
        <f t="shared" si="9"/>
        <v>4.6973803071364044E-6</v>
      </c>
      <c r="T8">
        <f t="shared" si="10"/>
        <v>0.1626016260162603</v>
      </c>
      <c r="W8">
        <f t="shared" si="1"/>
        <v>5.1077050711413836E-2</v>
      </c>
    </row>
    <row r="9" spans="1:23" x14ac:dyDescent="0.2">
      <c r="A9">
        <v>7</v>
      </c>
      <c r="B9">
        <v>7</v>
      </c>
      <c r="C9">
        <f t="shared" si="2"/>
        <v>1.5999999999999996</v>
      </c>
      <c r="D9">
        <f t="shared" si="0"/>
        <v>3.7940379403794036E-2</v>
      </c>
      <c r="E9">
        <v>0</v>
      </c>
      <c r="F9">
        <v>7</v>
      </c>
      <c r="G9">
        <f t="shared" si="3"/>
        <v>4.4805781391147242E-4</v>
      </c>
      <c r="H9">
        <f t="shared" si="4"/>
        <v>1.1555555555555555E-3</v>
      </c>
      <c r="I9">
        <f t="shared" si="5"/>
        <v>7.0749774164408303E-4</v>
      </c>
      <c r="K9">
        <f t="shared" si="6"/>
        <v>9.3333333333333338E-2</v>
      </c>
      <c r="L9">
        <v>7.0000000000000007E-2</v>
      </c>
      <c r="M9">
        <f t="shared" si="11"/>
        <v>0.16000000000000003</v>
      </c>
      <c r="N9">
        <f t="shared" si="7"/>
        <v>8.6720867208672108E-4</v>
      </c>
      <c r="O9">
        <f t="shared" si="8"/>
        <v>9.3333333333333338E-2</v>
      </c>
      <c r="Q9">
        <f t="shared" si="9"/>
        <v>9.0334236675700118E-6</v>
      </c>
      <c r="T9">
        <f t="shared" si="10"/>
        <v>0.65040650406504052</v>
      </c>
      <c r="W9">
        <f t="shared" si="1"/>
        <v>1.7448246981080245E-2</v>
      </c>
    </row>
    <row r="10" spans="1:23" x14ac:dyDescent="0.2">
      <c r="A10">
        <v>8</v>
      </c>
      <c r="B10">
        <v>8.33</v>
      </c>
      <c r="C10">
        <f t="shared" si="2"/>
        <v>1.33</v>
      </c>
      <c r="D10">
        <f t="shared" si="0"/>
        <v>4.5149051490514902E-2</v>
      </c>
      <c r="E10">
        <v>0</v>
      </c>
      <c r="F10">
        <v>8</v>
      </c>
      <c r="G10">
        <f t="shared" si="3"/>
        <v>5.5392953929539294E-4</v>
      </c>
      <c r="H10">
        <f t="shared" si="4"/>
        <v>1.3333333333333335E-3</v>
      </c>
      <c r="I10">
        <f t="shared" si="5"/>
        <v>7.7940379403794056E-4</v>
      </c>
      <c r="K10">
        <f t="shared" si="6"/>
        <v>0.10666666666666667</v>
      </c>
      <c r="L10">
        <v>8.0000000000000071E-2</v>
      </c>
      <c r="M10">
        <f t="shared" si="11"/>
        <v>0.2400000000000001</v>
      </c>
      <c r="N10">
        <f t="shared" si="7"/>
        <v>1.300813008130082E-3</v>
      </c>
      <c r="O10">
        <f t="shared" si="8"/>
        <v>0.10666666666666667</v>
      </c>
      <c r="Q10">
        <f t="shared" si="9"/>
        <v>1.445347786811202E-5</v>
      </c>
      <c r="T10">
        <f t="shared" si="10"/>
        <v>0.54065040650406504</v>
      </c>
      <c r="W10">
        <f t="shared" si="1"/>
        <v>5.0525725143042762E-3</v>
      </c>
    </row>
    <row r="11" spans="1:23" x14ac:dyDescent="0.2">
      <c r="A11">
        <v>9</v>
      </c>
      <c r="B11">
        <v>8.6999999999999993</v>
      </c>
      <c r="C11">
        <f t="shared" si="2"/>
        <v>0.36999999999999922</v>
      </c>
      <c r="D11">
        <f t="shared" si="0"/>
        <v>4.7154471544715443E-2</v>
      </c>
      <c r="E11">
        <v>0</v>
      </c>
      <c r="F11">
        <v>9</v>
      </c>
      <c r="G11">
        <f t="shared" si="3"/>
        <v>6.1535682023486891E-4</v>
      </c>
      <c r="H11">
        <f t="shared" si="4"/>
        <v>1.5111111111111113E-3</v>
      </c>
      <c r="I11">
        <f t="shared" si="5"/>
        <v>8.9575429087624238E-4</v>
      </c>
      <c r="K11">
        <f t="shared" si="6"/>
        <v>0.12</v>
      </c>
      <c r="L11">
        <v>8.0000000000000071E-2</v>
      </c>
      <c r="M11">
        <f t="shared" si="11"/>
        <v>0.32000000000000017</v>
      </c>
      <c r="N11">
        <f t="shared" si="7"/>
        <v>1.7344173441734426E-3</v>
      </c>
      <c r="O11">
        <f t="shared" si="8"/>
        <v>0.12</v>
      </c>
      <c r="Q11">
        <f t="shared" si="9"/>
        <v>2.0234869015356833E-5</v>
      </c>
      <c r="T11">
        <f t="shared" si="10"/>
        <v>0.15040650406504033</v>
      </c>
      <c r="W11">
        <f t="shared" si="1"/>
        <v>1.2402466929433869E-3</v>
      </c>
    </row>
    <row r="12" spans="1:23" x14ac:dyDescent="0.2">
      <c r="A12">
        <v>10</v>
      </c>
      <c r="B12">
        <v>8.7899999999999991</v>
      </c>
      <c r="C12">
        <f t="shared" si="2"/>
        <v>8.9999999999999858E-2</v>
      </c>
      <c r="D12">
        <f t="shared" si="0"/>
        <v>4.7642276422764224E-2</v>
      </c>
      <c r="E12">
        <v>0</v>
      </c>
      <c r="F12">
        <v>10</v>
      </c>
      <c r="G12">
        <f t="shared" si="3"/>
        <v>6.3197831978319781E-4</v>
      </c>
      <c r="H12">
        <f t="shared" si="4"/>
        <v>1.6888888888888886E-3</v>
      </c>
      <c r="I12">
        <f t="shared" si="5"/>
        <v>1.0569105691056908E-3</v>
      </c>
      <c r="K12">
        <f t="shared" si="6"/>
        <v>0.13333333333333333</v>
      </c>
      <c r="L12">
        <v>8.9999999999999858E-2</v>
      </c>
      <c r="M12">
        <f t="shared" si="11"/>
        <v>0.41000000000000003</v>
      </c>
      <c r="N12">
        <f t="shared" si="7"/>
        <v>2.2222222222222222E-3</v>
      </c>
      <c r="O12">
        <f t="shared" si="8"/>
        <v>0.13333333333333333</v>
      </c>
      <c r="Q12">
        <f t="shared" si="9"/>
        <v>2.637759710930443E-5</v>
      </c>
      <c r="T12">
        <f t="shared" si="10"/>
        <v>3.6585365853658479E-2</v>
      </c>
      <c r="W12">
        <f t="shared" si="1"/>
        <v>2.5807050253621522E-4</v>
      </c>
    </row>
    <row r="13" spans="1:23" x14ac:dyDescent="0.2">
      <c r="A13">
        <v>11</v>
      </c>
      <c r="B13">
        <v>8.9700000000000006</v>
      </c>
      <c r="C13">
        <f t="shared" si="2"/>
        <v>0.18000000000000149</v>
      </c>
      <c r="D13">
        <f t="shared" si="0"/>
        <v>4.8617886178861792E-2</v>
      </c>
      <c r="E13">
        <v>0</v>
      </c>
      <c r="F13">
        <v>11</v>
      </c>
      <c r="G13">
        <f t="shared" si="3"/>
        <v>6.4173441734417336E-4</v>
      </c>
      <c r="H13">
        <f t="shared" si="4"/>
        <v>1.8666666666666669E-3</v>
      </c>
      <c r="I13">
        <f t="shared" si="5"/>
        <v>1.2249322493224934E-3</v>
      </c>
      <c r="K13">
        <f t="shared" si="6"/>
        <v>0.14666666666666667</v>
      </c>
      <c r="L13">
        <v>9.9999999999994316E-2</v>
      </c>
      <c r="M13">
        <f t="shared" si="11"/>
        <v>0.50999999999999435</v>
      </c>
      <c r="N13">
        <f t="shared" si="7"/>
        <v>2.764227642276392E-3</v>
      </c>
      <c r="O13">
        <f t="shared" si="8"/>
        <v>0.14666666666666667</v>
      </c>
      <c r="Q13">
        <f t="shared" si="9"/>
        <v>3.3242999096657427E-5</v>
      </c>
      <c r="T13">
        <f t="shared" si="10"/>
        <v>7.3170731707317679E-2</v>
      </c>
      <c r="W13">
        <f t="shared" si="1"/>
        <v>4.552012276872128E-5</v>
      </c>
    </row>
    <row r="14" spans="1:23" x14ac:dyDescent="0.2">
      <c r="A14">
        <v>12</v>
      </c>
      <c r="B14">
        <v>9.2899999999999991</v>
      </c>
      <c r="C14">
        <f t="shared" si="2"/>
        <v>0.31999999999999851</v>
      </c>
      <c r="D14">
        <f t="shared" si="0"/>
        <v>5.0352303523035227E-2</v>
      </c>
      <c r="E14">
        <v>0</v>
      </c>
      <c r="F14">
        <v>12</v>
      </c>
      <c r="G14">
        <f t="shared" si="3"/>
        <v>6.5980126467931352E-4</v>
      </c>
      <c r="H14">
        <f t="shared" si="4"/>
        <v>2.0444444444444442E-3</v>
      </c>
      <c r="I14">
        <f t="shared" si="5"/>
        <v>1.3846431797651308E-3</v>
      </c>
      <c r="K14">
        <f t="shared" si="6"/>
        <v>0.16</v>
      </c>
      <c r="L14">
        <v>9.9999999999994316E-2</v>
      </c>
      <c r="M14">
        <f t="shared" si="11"/>
        <v>0.60999999999998866</v>
      </c>
      <c r="N14">
        <f t="shared" si="7"/>
        <v>3.3062330623305617E-3</v>
      </c>
      <c r="O14">
        <f t="shared" si="8"/>
        <v>0.16</v>
      </c>
      <c r="Q14">
        <f t="shared" si="9"/>
        <v>4.0469738030713029E-5</v>
      </c>
      <c r="T14">
        <f t="shared" si="10"/>
        <v>0.13008130081300753</v>
      </c>
      <c r="W14">
        <f t="shared" si="1"/>
        <v>6.8061771589212268E-6</v>
      </c>
    </row>
    <row r="15" spans="1:23" x14ac:dyDescent="0.2">
      <c r="A15">
        <v>13</v>
      </c>
      <c r="B15">
        <v>9.3699999999999992</v>
      </c>
      <c r="C15">
        <f t="shared" si="2"/>
        <v>8.0000000000000071E-2</v>
      </c>
      <c r="D15">
        <f t="shared" si="0"/>
        <v>5.0785907859078584E-2</v>
      </c>
      <c r="E15">
        <v>0</v>
      </c>
      <c r="F15">
        <v>13</v>
      </c>
      <c r="G15">
        <f t="shared" si="3"/>
        <v>6.7425474254742546E-4</v>
      </c>
      <c r="H15">
        <f t="shared" si="4"/>
        <v>2.2222222222222227E-3</v>
      </c>
      <c r="I15">
        <f t="shared" si="5"/>
        <v>1.5479674796747972E-3</v>
      </c>
      <c r="K15">
        <f t="shared" si="6"/>
        <v>0.17333333333333334</v>
      </c>
      <c r="L15">
        <v>9.9999999999994316E-2</v>
      </c>
      <c r="M15">
        <f t="shared" si="11"/>
        <v>0.70999999999998298</v>
      </c>
      <c r="N15">
        <f t="shared" si="7"/>
        <v>3.8482384823847315E-3</v>
      </c>
      <c r="O15">
        <f t="shared" si="8"/>
        <v>0.17333333333333334</v>
      </c>
      <c r="Q15">
        <f t="shared" si="9"/>
        <v>4.7696476964768617E-5</v>
      </c>
      <c r="T15">
        <f t="shared" si="10"/>
        <v>3.2520325203252064E-2</v>
      </c>
      <c r="W15">
        <f t="shared" si="1"/>
        <v>8.6265638495097351E-7</v>
      </c>
    </row>
    <row r="16" spans="1:23" x14ac:dyDescent="0.2">
      <c r="A16">
        <v>14</v>
      </c>
      <c r="B16">
        <v>9.4700000000000006</v>
      </c>
      <c r="C16">
        <f t="shared" si="2"/>
        <v>0.10000000000000142</v>
      </c>
      <c r="D16">
        <f t="shared" si="0"/>
        <v>5.1327913279132796E-2</v>
      </c>
      <c r="E16">
        <v>0</v>
      </c>
      <c r="F16">
        <v>14</v>
      </c>
      <c r="G16">
        <f t="shared" si="3"/>
        <v>6.807588075880759E-4</v>
      </c>
      <c r="H16">
        <f t="shared" si="4"/>
        <v>2.3999999999999998E-3</v>
      </c>
      <c r="I16">
        <f t="shared" si="5"/>
        <v>1.7192411924119239E-3</v>
      </c>
      <c r="K16">
        <f t="shared" si="6"/>
        <v>0.18666666666666668</v>
      </c>
      <c r="L16">
        <v>9.9999999999994316E-2</v>
      </c>
      <c r="M16">
        <f t="shared" si="11"/>
        <v>0.80999999999997729</v>
      </c>
      <c r="N16">
        <f t="shared" si="7"/>
        <v>4.3902439024389017E-3</v>
      </c>
      <c r="O16">
        <f t="shared" si="8"/>
        <v>0.18666666666666668</v>
      </c>
      <c r="Q16">
        <f t="shared" si="9"/>
        <v>5.4923215898824218E-5</v>
      </c>
      <c r="T16">
        <f t="shared" si="10"/>
        <v>4.0650406504065616E-2</v>
      </c>
      <c r="W16">
        <f t="shared" si="1"/>
        <v>9.2684518975104538E-8</v>
      </c>
    </row>
    <row r="17" spans="1:23" x14ac:dyDescent="0.2">
      <c r="A17">
        <v>15</v>
      </c>
      <c r="B17">
        <v>13.45</v>
      </c>
      <c r="C17">
        <f t="shared" si="2"/>
        <v>3.9799999999999986</v>
      </c>
      <c r="D17">
        <f t="shared" si="0"/>
        <v>7.289972899728997E-2</v>
      </c>
      <c r="E17">
        <v>0</v>
      </c>
      <c r="F17">
        <v>15</v>
      </c>
      <c r="G17">
        <f t="shared" si="3"/>
        <v>8.2818428184281844E-4</v>
      </c>
      <c r="H17">
        <f t="shared" si="4"/>
        <v>2.5777777777777782E-3</v>
      </c>
      <c r="I17">
        <f t="shared" si="5"/>
        <v>1.7495934959349598E-3</v>
      </c>
      <c r="K17">
        <f t="shared" si="6"/>
        <v>0.2</v>
      </c>
      <c r="L17">
        <v>9.9999999999999645E-2</v>
      </c>
      <c r="M17">
        <f t="shared" si="11"/>
        <v>0.90999999999997694</v>
      </c>
      <c r="N17">
        <f t="shared" si="7"/>
        <v>4.9322493224930996E-3</v>
      </c>
      <c r="O17">
        <f t="shared" si="8"/>
        <v>0.2</v>
      </c>
      <c r="Q17">
        <f t="shared" si="9"/>
        <v>6.2149954832880003E-5</v>
      </c>
      <c r="T17">
        <f t="shared" si="10"/>
        <v>1.617886178861788</v>
      </c>
      <c r="W17">
        <f t="shared" si="1"/>
        <v>8.4413387129388763E-9</v>
      </c>
    </row>
    <row r="18" spans="1:23" x14ac:dyDescent="0.2">
      <c r="A18">
        <v>16</v>
      </c>
      <c r="B18">
        <v>13.6</v>
      </c>
      <c r="C18">
        <f t="shared" si="2"/>
        <v>0.15000000000000036</v>
      </c>
      <c r="D18">
        <f t="shared" si="0"/>
        <v>7.3712737127371267E-2</v>
      </c>
      <c r="E18">
        <v>0</v>
      </c>
      <c r="F18">
        <v>16</v>
      </c>
      <c r="G18">
        <f t="shared" si="3"/>
        <v>9.7741644083107482E-4</v>
      </c>
      <c r="H18">
        <f t="shared" si="4"/>
        <v>2.7555555555555554E-3</v>
      </c>
      <c r="I18">
        <f t="shared" si="5"/>
        <v>1.7781391147244805E-3</v>
      </c>
      <c r="K18">
        <f t="shared" si="6"/>
        <v>0.21333333333333335</v>
      </c>
      <c r="L18">
        <v>0.10000000000000142</v>
      </c>
      <c r="M18">
        <f t="shared" si="11"/>
        <v>1.0099999999999785</v>
      </c>
      <c r="N18">
        <f t="shared" si="7"/>
        <v>5.4742547425473088E-3</v>
      </c>
      <c r="O18">
        <f t="shared" si="8"/>
        <v>0.21333333333333335</v>
      </c>
      <c r="Q18">
        <f t="shared" si="9"/>
        <v>6.9376693766936052E-5</v>
      </c>
      <c r="T18">
        <f t="shared" si="10"/>
        <v>6.0975609756097705E-2</v>
      </c>
      <c r="W18">
        <f t="shared" si="1"/>
        <v>6.5170375125127662E-10</v>
      </c>
    </row>
    <row r="19" spans="1:23" x14ac:dyDescent="0.2">
      <c r="A19">
        <v>17</v>
      </c>
      <c r="B19">
        <v>13.99</v>
      </c>
      <c r="C19">
        <f t="shared" si="2"/>
        <v>0.39000000000000057</v>
      </c>
      <c r="D19">
        <f t="shared" si="0"/>
        <v>7.5826558265582655E-2</v>
      </c>
      <c r="E19">
        <v>0</v>
      </c>
      <c r="F19">
        <v>17</v>
      </c>
      <c r="G19">
        <f t="shared" si="3"/>
        <v>9.9692863595302614E-4</v>
      </c>
      <c r="H19">
        <f t="shared" si="4"/>
        <v>2.9333333333333334E-3</v>
      </c>
      <c r="I19">
        <f t="shared" si="5"/>
        <v>1.9364046973803072E-3</v>
      </c>
      <c r="K19">
        <f t="shared" si="6"/>
        <v>0.22666666666666666</v>
      </c>
      <c r="L19">
        <v>0.10999999999999943</v>
      </c>
      <c r="M19">
        <f t="shared" si="11"/>
        <v>1.1199999999999779</v>
      </c>
      <c r="N19">
        <f t="shared" si="7"/>
        <v>6.0704607046069264E-3</v>
      </c>
      <c r="O19">
        <f t="shared" si="8"/>
        <v>0.22666666666666666</v>
      </c>
      <c r="Q19">
        <f t="shared" si="9"/>
        <v>7.6964769647694891E-5</v>
      </c>
      <c r="T19">
        <f t="shared" si="10"/>
        <v>0.15853658536585388</v>
      </c>
      <c r="W19">
        <f t="shared" si="1"/>
        <v>4.2650475964927554E-11</v>
      </c>
    </row>
    <row r="20" spans="1:23" x14ac:dyDescent="0.2">
      <c r="A20">
        <v>18</v>
      </c>
      <c r="B20">
        <v>14.09</v>
      </c>
      <c r="C20">
        <f t="shared" si="2"/>
        <v>9.9999999999999645E-2</v>
      </c>
      <c r="D20">
        <f t="shared" si="0"/>
        <v>7.6368563685636853E-2</v>
      </c>
      <c r="E20">
        <v>0</v>
      </c>
      <c r="F20">
        <v>18</v>
      </c>
      <c r="G20">
        <f t="shared" si="3"/>
        <v>1.0146341463414634E-3</v>
      </c>
      <c r="H20">
        <f t="shared" si="4"/>
        <v>3.1111111111111114E-3</v>
      </c>
      <c r="I20">
        <f t="shared" si="5"/>
        <v>2.0964769647696477E-3</v>
      </c>
      <c r="K20">
        <f t="shared" si="6"/>
        <v>0.24</v>
      </c>
      <c r="L20">
        <v>0.13000000000000078</v>
      </c>
      <c r="M20">
        <f t="shared" si="11"/>
        <v>1.2499999999999787</v>
      </c>
      <c r="N20">
        <f t="shared" si="7"/>
        <v>6.775067750677391E-3</v>
      </c>
      <c r="O20">
        <f t="shared" si="8"/>
        <v>0.24</v>
      </c>
      <c r="Q20">
        <f t="shared" si="9"/>
        <v>8.5636856368562114E-5</v>
      </c>
      <c r="T20">
        <f t="shared" si="10"/>
        <v>4.0650406504064894E-2</v>
      </c>
      <c r="W20">
        <f t="shared" si="1"/>
        <v>2.3660957242665438E-12</v>
      </c>
    </row>
    <row r="21" spans="1:23" x14ac:dyDescent="0.2">
      <c r="A21">
        <v>19</v>
      </c>
      <c r="B21">
        <v>14.17</v>
      </c>
      <c r="C21">
        <f t="shared" si="2"/>
        <v>8.0000000000000071E-2</v>
      </c>
      <c r="D21">
        <f t="shared" si="0"/>
        <v>7.6802168021680217E-2</v>
      </c>
      <c r="E21">
        <v>0</v>
      </c>
      <c r="F21">
        <v>19</v>
      </c>
      <c r="G21">
        <f t="shared" si="3"/>
        <v>1.0211382113821138E-3</v>
      </c>
      <c r="H21">
        <f t="shared" si="4"/>
        <v>3.2888888888888889E-3</v>
      </c>
      <c r="I21">
        <f t="shared" si="5"/>
        <v>2.2677506775067753E-3</v>
      </c>
      <c r="K21">
        <f t="shared" si="6"/>
        <v>0.25333333333333335</v>
      </c>
      <c r="L21">
        <v>0.14000000000000057</v>
      </c>
      <c r="M21">
        <f t="shared" si="11"/>
        <v>1.3899999999999793</v>
      </c>
      <c r="N21">
        <f t="shared" si="7"/>
        <v>7.5338753387532752E-3</v>
      </c>
      <c r="O21">
        <f t="shared" si="8"/>
        <v>0.25333333333333335</v>
      </c>
      <c r="Q21">
        <f t="shared" si="9"/>
        <v>9.5392953929537762E-5</v>
      </c>
      <c r="T21">
        <f t="shared" si="10"/>
        <v>3.2520325203252064E-2</v>
      </c>
      <c r="W21">
        <f t="shared" si="1"/>
        <v>1.1126933864319353E-13</v>
      </c>
    </row>
    <row r="22" spans="1:23" x14ac:dyDescent="0.2">
      <c r="A22">
        <v>20</v>
      </c>
      <c r="B22">
        <v>14.3</v>
      </c>
      <c r="C22">
        <f t="shared" si="2"/>
        <v>0.13000000000000078</v>
      </c>
      <c r="D22">
        <f t="shared" si="0"/>
        <v>7.750677506775068E-2</v>
      </c>
      <c r="E22">
        <v>0</v>
      </c>
      <c r="F22">
        <v>20</v>
      </c>
      <c r="G22">
        <f t="shared" si="3"/>
        <v>1.0287262872628725E-3</v>
      </c>
      <c r="H22">
        <f t="shared" si="4"/>
        <v>3.4666666666666669E-3</v>
      </c>
      <c r="I22">
        <f t="shared" si="5"/>
        <v>2.4379403794037944E-3</v>
      </c>
      <c r="K22">
        <f t="shared" si="6"/>
        <v>0.26666666666666666</v>
      </c>
      <c r="L22">
        <v>0.15000000000000036</v>
      </c>
      <c r="M22">
        <f t="shared" si="11"/>
        <v>1.5399999999999796</v>
      </c>
      <c r="N22">
        <f t="shared" si="7"/>
        <v>8.3468834688345782E-3</v>
      </c>
      <c r="O22">
        <f t="shared" si="8"/>
        <v>0.26666666666666666</v>
      </c>
      <c r="Q22">
        <f t="shared" si="9"/>
        <v>1.0587172538391902E-4</v>
      </c>
      <c r="T22">
        <f t="shared" si="10"/>
        <v>5.2845528455284868E-2</v>
      </c>
      <c r="W22">
        <f t="shared" si="1"/>
        <v>4.4356111861497199E-15</v>
      </c>
    </row>
    <row r="23" spans="1:23" x14ac:dyDescent="0.2">
      <c r="A23">
        <v>21</v>
      </c>
      <c r="B23">
        <v>16.64</v>
      </c>
      <c r="C23">
        <f t="shared" si="2"/>
        <v>2.34</v>
      </c>
      <c r="D23">
        <f t="shared" si="0"/>
        <v>9.018970189701897E-2</v>
      </c>
      <c r="E23">
        <v>0</v>
      </c>
      <c r="F23">
        <v>21</v>
      </c>
      <c r="G23">
        <f t="shared" si="3"/>
        <v>1.1179765130984642E-3</v>
      </c>
      <c r="H23">
        <f t="shared" si="4"/>
        <v>3.6444444444444441E-3</v>
      </c>
      <c r="I23">
        <f t="shared" si="5"/>
        <v>2.5264679313459796E-3</v>
      </c>
      <c r="K23">
        <f t="shared" si="6"/>
        <v>0.28000000000000003</v>
      </c>
      <c r="L23">
        <v>0.15000000000000568</v>
      </c>
      <c r="M23">
        <f t="shared" si="11"/>
        <v>1.6899999999999853</v>
      </c>
      <c r="N23">
        <f t="shared" si="7"/>
        <v>9.1598915989159098E-3</v>
      </c>
      <c r="O23">
        <f t="shared" si="8"/>
        <v>0.28000000000000003</v>
      </c>
      <c r="Q23">
        <f t="shared" si="9"/>
        <v>1.1671183378500325E-4</v>
      </c>
      <c r="T23">
        <f t="shared" si="10"/>
        <v>0.95121951219512191</v>
      </c>
      <c r="W23">
        <f t="shared" si="1"/>
        <v>1.4988777083704181E-16</v>
      </c>
    </row>
    <row r="24" spans="1:23" x14ac:dyDescent="0.2">
      <c r="A24">
        <v>22</v>
      </c>
      <c r="B24">
        <v>19.63</v>
      </c>
      <c r="C24">
        <f t="shared" si="2"/>
        <v>2.9899999999999984</v>
      </c>
      <c r="D24">
        <f t="shared" si="0"/>
        <v>0.10639566395663956</v>
      </c>
      <c r="E24">
        <v>0</v>
      </c>
      <c r="F24">
        <v>22</v>
      </c>
      <c r="G24">
        <f t="shared" si="3"/>
        <v>1.310569105691057E-3</v>
      </c>
      <c r="H24">
        <f t="shared" si="4"/>
        <v>3.8222222222222225E-3</v>
      </c>
      <c r="I24">
        <f t="shared" si="5"/>
        <v>2.5116531165311658E-3</v>
      </c>
      <c r="K24">
        <f t="shared" si="6"/>
        <v>0.29333333333333333</v>
      </c>
      <c r="L24">
        <v>0.18000000000000149</v>
      </c>
      <c r="M24">
        <f t="shared" si="11"/>
        <v>1.8699999999999868</v>
      </c>
      <c r="N24">
        <f t="shared" si="7"/>
        <v>1.0135501355013479E-2</v>
      </c>
      <c r="O24">
        <f t="shared" si="8"/>
        <v>0.29333333333333333</v>
      </c>
      <c r="Q24">
        <f t="shared" si="9"/>
        <v>1.2863595302619593E-4</v>
      </c>
      <c r="T24">
        <f t="shared" si="10"/>
        <v>1.2154471544715439</v>
      </c>
      <c r="W24">
        <f t="shared" si="1"/>
        <v>4.2935220612432583E-18</v>
      </c>
    </row>
    <row r="25" spans="1:23" x14ac:dyDescent="0.2">
      <c r="A25">
        <v>23</v>
      </c>
      <c r="B25">
        <v>22.12</v>
      </c>
      <c r="C25">
        <f t="shared" si="2"/>
        <v>2.490000000000002</v>
      </c>
      <c r="D25">
        <f t="shared" si="0"/>
        <v>0.11989159891598916</v>
      </c>
      <c r="E25">
        <v>0</v>
      </c>
      <c r="F25">
        <v>23</v>
      </c>
      <c r="G25">
        <f t="shared" si="3"/>
        <v>1.5085817524841917E-3</v>
      </c>
      <c r="H25">
        <f t="shared" si="4"/>
        <v>4.0000000000000001E-3</v>
      </c>
      <c r="I25">
        <f t="shared" si="5"/>
        <v>2.4914182475158086E-3</v>
      </c>
      <c r="K25">
        <f t="shared" si="6"/>
        <v>0.30666666666666664</v>
      </c>
      <c r="L25">
        <v>0.25999999999999091</v>
      </c>
      <c r="M25">
        <f t="shared" si="11"/>
        <v>2.1299999999999777</v>
      </c>
      <c r="N25">
        <f t="shared" si="7"/>
        <v>1.1544715447154351E-2</v>
      </c>
      <c r="O25">
        <f t="shared" si="8"/>
        <v>0.30666666666666664</v>
      </c>
      <c r="Q25">
        <f t="shared" si="9"/>
        <v>1.4453477868111886E-4</v>
      </c>
      <c r="T25">
        <f t="shared" si="10"/>
        <v>1.0121951219512204</v>
      </c>
      <c r="W25">
        <f t="shared" si="1"/>
        <v>1.0425477711355987E-19</v>
      </c>
    </row>
    <row r="26" spans="1:23" x14ac:dyDescent="0.2">
      <c r="A26">
        <v>24</v>
      </c>
      <c r="B26">
        <v>22.76</v>
      </c>
      <c r="C26">
        <f t="shared" si="2"/>
        <v>0.64000000000000057</v>
      </c>
      <c r="D26">
        <f t="shared" si="0"/>
        <v>0.12336043360433604</v>
      </c>
      <c r="E26">
        <v>0</v>
      </c>
      <c r="F26">
        <v>24</v>
      </c>
      <c r="G26">
        <f t="shared" si="3"/>
        <v>1.6216802168021681E-3</v>
      </c>
      <c r="H26">
        <f t="shared" si="4"/>
        <v>4.1777777777777777E-3</v>
      </c>
      <c r="I26">
        <f t="shared" si="5"/>
        <v>2.5560975609756095E-3</v>
      </c>
      <c r="K26">
        <f t="shared" si="6"/>
        <v>0.32</v>
      </c>
      <c r="L26">
        <v>0.29999999999998295</v>
      </c>
      <c r="M26">
        <f t="shared" si="11"/>
        <v>2.4299999999999606</v>
      </c>
      <c r="N26">
        <f t="shared" si="7"/>
        <v>1.3170731707316859E-2</v>
      </c>
      <c r="O26">
        <f t="shared" si="8"/>
        <v>0.32</v>
      </c>
      <c r="Q26">
        <f t="shared" si="9"/>
        <v>1.6476964769647471E-4</v>
      </c>
      <c r="T26">
        <f t="shared" si="10"/>
        <v>0.26016260162601651</v>
      </c>
      <c r="W26">
        <f t="shared" si="1"/>
        <v>2.1459173785074579E-21</v>
      </c>
    </row>
    <row r="27" spans="1:23" x14ac:dyDescent="0.2">
      <c r="A27">
        <v>25</v>
      </c>
      <c r="B27">
        <v>30.8</v>
      </c>
      <c r="C27">
        <f t="shared" si="2"/>
        <v>8.0399999999999991</v>
      </c>
      <c r="D27">
        <f t="shared" si="0"/>
        <v>0.16693766937669377</v>
      </c>
      <c r="E27">
        <v>0</v>
      </c>
      <c r="F27">
        <v>25</v>
      </c>
      <c r="G27">
        <f t="shared" si="3"/>
        <v>1.9353206865401987E-3</v>
      </c>
      <c r="H27">
        <f t="shared" si="4"/>
        <v>4.3555555555555552E-3</v>
      </c>
      <c r="I27">
        <f t="shared" si="5"/>
        <v>2.4202348690153565E-3</v>
      </c>
      <c r="K27">
        <f t="shared" si="6"/>
        <v>0.33333333333333331</v>
      </c>
      <c r="L27">
        <v>0.30000000000001137</v>
      </c>
      <c r="M27">
        <f t="shared" si="11"/>
        <v>2.729999999999972</v>
      </c>
      <c r="N27">
        <f t="shared" si="7"/>
        <v>1.4796747967479523E-2</v>
      </c>
      <c r="O27">
        <f t="shared" si="8"/>
        <v>0.33333333333333331</v>
      </c>
      <c r="Q27">
        <f t="shared" si="9"/>
        <v>1.8644986449864256E-4</v>
      </c>
      <c r="T27">
        <f t="shared" si="10"/>
        <v>3.2682926829268291</v>
      </c>
      <c r="W27">
        <f t="shared" si="1"/>
        <v>3.7442496421190356E-23</v>
      </c>
    </row>
    <row r="28" spans="1:23" x14ac:dyDescent="0.2">
      <c r="A28">
        <v>26</v>
      </c>
      <c r="B28">
        <v>39.4</v>
      </c>
      <c r="C28">
        <f t="shared" si="2"/>
        <v>8.5999999999999979</v>
      </c>
      <c r="D28">
        <f t="shared" si="0"/>
        <v>0.21355013550135502</v>
      </c>
      <c r="E28">
        <v>0</v>
      </c>
      <c r="F28">
        <v>26</v>
      </c>
      <c r="G28">
        <f t="shared" si="3"/>
        <v>2.5365853658536586E-3</v>
      </c>
      <c r="H28">
        <f t="shared" si="4"/>
        <v>4.5333333333333328E-3</v>
      </c>
      <c r="I28">
        <f t="shared" si="5"/>
        <v>1.9967479674796742E-3</v>
      </c>
      <c r="K28">
        <f t="shared" si="6"/>
        <v>0.34666666666666668</v>
      </c>
      <c r="L28">
        <v>0.30000000000001137</v>
      </c>
      <c r="M28">
        <f t="shared" si="11"/>
        <v>3.0299999999999834</v>
      </c>
      <c r="N28">
        <f t="shared" si="7"/>
        <v>1.6422764227642186E-2</v>
      </c>
      <c r="O28">
        <f t="shared" si="8"/>
        <v>0.34666666666666668</v>
      </c>
      <c r="Q28">
        <f t="shared" si="9"/>
        <v>2.0813008130081138E-4</v>
      </c>
      <c r="T28">
        <f t="shared" si="10"/>
        <v>3.4959349593495928</v>
      </c>
      <c r="W28">
        <f t="shared" si="1"/>
        <v>5.5379797627261529E-25</v>
      </c>
    </row>
    <row r="29" spans="1:23" x14ac:dyDescent="0.2">
      <c r="A29">
        <v>27</v>
      </c>
      <c r="B29">
        <v>41.5</v>
      </c>
      <c r="C29">
        <f t="shared" si="2"/>
        <v>2.1000000000000014</v>
      </c>
      <c r="D29">
        <f t="shared" si="0"/>
        <v>0.22493224932249323</v>
      </c>
      <c r="E29">
        <v>0</v>
      </c>
      <c r="F29">
        <v>27</v>
      </c>
      <c r="G29">
        <f t="shared" si="3"/>
        <v>2.9232158988256552E-3</v>
      </c>
      <c r="H29">
        <f t="shared" si="4"/>
        <v>4.7111111111111112E-3</v>
      </c>
      <c r="I29">
        <f t="shared" si="5"/>
        <v>1.787895212285456E-3</v>
      </c>
      <c r="K29">
        <f t="shared" si="6"/>
        <v>0.36</v>
      </c>
      <c r="L29">
        <v>0.31999999999999851</v>
      </c>
      <c r="M29">
        <f t="shared" si="11"/>
        <v>3.3499999999999819</v>
      </c>
      <c r="N29">
        <f t="shared" si="7"/>
        <v>1.8157181571815621E-2</v>
      </c>
      <c r="O29">
        <f t="shared" si="8"/>
        <v>0.36</v>
      </c>
      <c r="Q29">
        <f t="shared" si="9"/>
        <v>2.3053297199638538E-4</v>
      </c>
      <c r="T29">
        <f t="shared" si="10"/>
        <v>0.85365853658536639</v>
      </c>
      <c r="W29">
        <f t="shared" si="1"/>
        <v>6.9434082187153023E-27</v>
      </c>
    </row>
    <row r="30" spans="1:23" x14ac:dyDescent="0.2">
      <c r="A30">
        <v>28</v>
      </c>
      <c r="B30">
        <v>48.9</v>
      </c>
      <c r="C30">
        <f t="shared" si="2"/>
        <v>7.3999999999999986</v>
      </c>
      <c r="D30">
        <f t="shared" si="0"/>
        <v>0.26504065040650404</v>
      </c>
      <c r="E30">
        <v>0</v>
      </c>
      <c r="F30">
        <v>28</v>
      </c>
      <c r="G30">
        <f t="shared" si="3"/>
        <v>3.2664859981933153E-3</v>
      </c>
      <c r="H30">
        <f t="shared" si="4"/>
        <v>4.8888888888888897E-3</v>
      </c>
      <c r="I30">
        <f t="shared" si="5"/>
        <v>1.6224028906955744E-3</v>
      </c>
      <c r="K30">
        <f t="shared" si="6"/>
        <v>0.37333333333333335</v>
      </c>
      <c r="L30">
        <v>0.36999999999999922</v>
      </c>
      <c r="M30">
        <f t="shared" si="11"/>
        <v>3.7199999999999811</v>
      </c>
      <c r="N30">
        <f t="shared" si="7"/>
        <v>2.0162601626016158E-2</v>
      </c>
      <c r="O30">
        <f t="shared" si="8"/>
        <v>0.37333333333333335</v>
      </c>
      <c r="Q30">
        <f t="shared" si="9"/>
        <v>2.554652213188785E-4</v>
      </c>
      <c r="T30">
        <f t="shared" si="10"/>
        <v>3.0081300813008127</v>
      </c>
      <c r="W30">
        <f t="shared" si="1"/>
        <v>7.3795316766815504E-29</v>
      </c>
    </row>
    <row r="31" spans="1:23" x14ac:dyDescent="0.2">
      <c r="A31">
        <v>29</v>
      </c>
      <c r="B31">
        <v>50.89</v>
      </c>
      <c r="C31">
        <f t="shared" si="2"/>
        <v>1.990000000000002</v>
      </c>
      <c r="D31">
        <f t="shared" si="0"/>
        <v>0.27582655826558267</v>
      </c>
      <c r="E31">
        <v>0</v>
      </c>
      <c r="F31">
        <v>29</v>
      </c>
      <c r="G31">
        <f t="shared" si="3"/>
        <v>3.6057813911472445E-3</v>
      </c>
      <c r="H31">
        <f t="shared" si="4"/>
        <v>5.0666666666666664E-3</v>
      </c>
      <c r="I31">
        <f t="shared" si="5"/>
        <v>1.4608852755194218E-3</v>
      </c>
      <c r="K31">
        <f t="shared" si="6"/>
        <v>0.38666666666666666</v>
      </c>
      <c r="L31">
        <v>0.38</v>
      </c>
      <c r="M31">
        <f t="shared" si="11"/>
        <v>4.099999999999981</v>
      </c>
      <c r="N31">
        <f t="shared" si="7"/>
        <v>2.2222222222222119E-2</v>
      </c>
      <c r="O31">
        <f t="shared" si="8"/>
        <v>0.38666666666666666</v>
      </c>
      <c r="Q31">
        <f t="shared" si="9"/>
        <v>2.8256549232158847E-4</v>
      </c>
      <c r="T31">
        <f t="shared" si="10"/>
        <v>0.8089430894308951</v>
      </c>
      <c r="W31">
        <f t="shared" si="1"/>
        <v>6.6484387299183308E-31</v>
      </c>
    </row>
    <row r="32" spans="1:23" x14ac:dyDescent="0.2">
      <c r="A32">
        <v>30</v>
      </c>
      <c r="B32">
        <v>55</v>
      </c>
      <c r="C32">
        <f t="shared" si="2"/>
        <v>4.1099999999999994</v>
      </c>
      <c r="D32">
        <f t="shared" si="0"/>
        <v>0.29810298102981031</v>
      </c>
      <c r="E32">
        <v>0</v>
      </c>
      <c r="F32">
        <v>30</v>
      </c>
      <c r="G32">
        <f t="shared" si="3"/>
        <v>3.8261969286359529E-3</v>
      </c>
      <c r="H32">
        <f t="shared" si="4"/>
        <v>5.2444444444444439E-3</v>
      </c>
      <c r="I32">
        <f t="shared" si="5"/>
        <v>1.4182475158084911E-3</v>
      </c>
      <c r="K32">
        <f t="shared" si="6"/>
        <v>0.4</v>
      </c>
      <c r="L32">
        <v>0.39000000000000057</v>
      </c>
      <c r="M32">
        <f t="shared" si="11"/>
        <v>4.4899999999999816</v>
      </c>
      <c r="N32">
        <f t="shared" si="7"/>
        <v>2.4336043360433504E-2</v>
      </c>
      <c r="O32">
        <f t="shared" si="8"/>
        <v>0.4</v>
      </c>
      <c r="Q32">
        <f t="shared" si="9"/>
        <v>3.1038843721770414E-4</v>
      </c>
      <c r="T32">
        <f t="shared" si="10"/>
        <v>1.6707317073170731</v>
      </c>
      <c r="W32">
        <f t="shared" si="1"/>
        <v>5.0774459339157848E-33</v>
      </c>
    </row>
    <row r="33" spans="1:23" x14ac:dyDescent="0.2">
      <c r="A33">
        <v>31</v>
      </c>
      <c r="B33">
        <v>58</v>
      </c>
      <c r="C33">
        <f t="shared" si="2"/>
        <v>3</v>
      </c>
      <c r="D33">
        <f t="shared" si="0"/>
        <v>0.3143631436314363</v>
      </c>
      <c r="E33">
        <v>0</v>
      </c>
      <c r="F33">
        <v>31</v>
      </c>
      <c r="G33">
        <f t="shared" si="3"/>
        <v>4.0831074977416438E-3</v>
      </c>
      <c r="H33">
        <f t="shared" si="4"/>
        <v>5.4222222222222224E-3</v>
      </c>
      <c r="I33">
        <f t="shared" si="5"/>
        <v>1.3391147244805786E-3</v>
      </c>
      <c r="K33">
        <f t="shared" si="6"/>
        <v>0.41333333333333333</v>
      </c>
      <c r="L33">
        <v>0.40000000000000036</v>
      </c>
      <c r="M33">
        <f t="shared" si="11"/>
        <v>4.8899999999999819</v>
      </c>
      <c r="N33">
        <f t="shared" si="7"/>
        <v>2.650406504065031E-2</v>
      </c>
      <c r="O33">
        <f t="shared" si="8"/>
        <v>0.41333333333333333</v>
      </c>
      <c r="Q33">
        <f t="shared" si="9"/>
        <v>3.3893405600722543E-4</v>
      </c>
      <c r="T33">
        <f t="shared" si="10"/>
        <v>1.2195121951219514</v>
      </c>
      <c r="W33">
        <f t="shared" si="1"/>
        <v>3.2870454702632267E-35</v>
      </c>
    </row>
    <row r="34" spans="1:23" x14ac:dyDescent="0.2">
      <c r="A34">
        <v>32</v>
      </c>
      <c r="B34">
        <v>60.23</v>
      </c>
      <c r="C34">
        <f t="shared" si="2"/>
        <v>2.2299999999999969</v>
      </c>
      <c r="D34">
        <f t="shared" si="0"/>
        <v>0.32644986449864499</v>
      </c>
      <c r="E34">
        <v>0</v>
      </c>
      <c r="F34">
        <v>32</v>
      </c>
      <c r="G34">
        <f t="shared" si="3"/>
        <v>4.2720867208672093E-3</v>
      </c>
      <c r="H34">
        <f t="shared" si="4"/>
        <v>5.6000000000000008E-3</v>
      </c>
      <c r="I34">
        <f t="shared" si="5"/>
        <v>1.3279132791327915E-3</v>
      </c>
      <c r="K34">
        <f t="shared" si="6"/>
        <v>0.42666666666666669</v>
      </c>
      <c r="L34">
        <v>0.47000000000000597</v>
      </c>
      <c r="M34">
        <f t="shared" si="11"/>
        <v>5.3599999999999879</v>
      </c>
      <c r="N34">
        <f t="shared" si="7"/>
        <v>2.9051490514905083E-2</v>
      </c>
      <c r="O34">
        <f t="shared" si="8"/>
        <v>0.42666666666666669</v>
      </c>
      <c r="Q34">
        <f t="shared" si="9"/>
        <v>3.7037037037036927E-4</v>
      </c>
      <c r="T34">
        <f t="shared" si="10"/>
        <v>0.90650406504064907</v>
      </c>
      <c r="W34">
        <f t="shared" si="1"/>
        <v>1.8038519213420785E-37</v>
      </c>
    </row>
    <row r="35" spans="1:23" x14ac:dyDescent="0.2">
      <c r="A35">
        <v>33</v>
      </c>
      <c r="B35">
        <v>60.7</v>
      </c>
      <c r="C35">
        <f t="shared" si="2"/>
        <v>0.47000000000000597</v>
      </c>
      <c r="D35">
        <f t="shared" si="0"/>
        <v>0.32899728997289973</v>
      </c>
      <c r="E35">
        <v>0</v>
      </c>
      <c r="F35">
        <v>33</v>
      </c>
      <c r="G35">
        <f t="shared" si="3"/>
        <v>4.3696476964769655E-3</v>
      </c>
      <c r="H35">
        <f t="shared" si="4"/>
        <v>5.7777777777777784E-3</v>
      </c>
      <c r="I35">
        <f t="shared" si="5"/>
        <v>1.4081300813008129E-3</v>
      </c>
      <c r="K35">
        <f t="shared" si="6"/>
        <v>0.44</v>
      </c>
      <c r="L35">
        <v>0.64000000000000057</v>
      </c>
      <c r="M35">
        <f t="shared" si="11"/>
        <v>5.9999999999999885</v>
      </c>
      <c r="N35">
        <f t="shared" si="7"/>
        <v>3.2520325203251967E-2</v>
      </c>
      <c r="O35">
        <f t="shared" si="8"/>
        <v>0.44</v>
      </c>
      <c r="Q35">
        <f t="shared" si="9"/>
        <v>4.1047877145438034E-4</v>
      </c>
      <c r="T35">
        <f t="shared" si="10"/>
        <v>0.19105691056910812</v>
      </c>
      <c r="W35">
        <f t="shared" si="1"/>
        <v>8.391330417055449E-40</v>
      </c>
    </row>
    <row r="36" spans="1:23" x14ac:dyDescent="0.2">
      <c r="A36">
        <v>34</v>
      </c>
      <c r="B36">
        <v>61.57</v>
      </c>
      <c r="C36">
        <f t="shared" si="2"/>
        <v>0.86999999999999744</v>
      </c>
      <c r="D36">
        <f t="shared" si="0"/>
        <v>0.33371273712737126</v>
      </c>
      <c r="E36">
        <v>0</v>
      </c>
      <c r="F36">
        <v>34</v>
      </c>
      <c r="G36">
        <f t="shared" si="3"/>
        <v>4.4180668473351404E-3</v>
      </c>
      <c r="H36">
        <f t="shared" si="4"/>
        <v>5.9555555555555551E-3</v>
      </c>
      <c r="I36">
        <f t="shared" si="5"/>
        <v>1.5374887082204147E-3</v>
      </c>
      <c r="K36">
        <f t="shared" si="6"/>
        <v>0.45333333333333331</v>
      </c>
      <c r="L36">
        <v>0.75999999999999801</v>
      </c>
      <c r="M36">
        <f t="shared" si="11"/>
        <v>6.7599999999999865</v>
      </c>
      <c r="N36">
        <f t="shared" si="7"/>
        <v>3.6639566395663882E-2</v>
      </c>
      <c r="O36">
        <f t="shared" si="8"/>
        <v>0.45333333333333331</v>
      </c>
      <c r="Q36">
        <f t="shared" si="9"/>
        <v>4.6106594399277233E-4</v>
      </c>
      <c r="T36">
        <f t="shared" si="10"/>
        <v>0.35365853658536484</v>
      </c>
      <c r="W36">
        <f t="shared" si="1"/>
        <v>3.3089905619084469E-42</v>
      </c>
    </row>
    <row r="37" spans="1:23" x14ac:dyDescent="0.2">
      <c r="A37">
        <v>35</v>
      </c>
      <c r="B37">
        <v>62.33</v>
      </c>
      <c r="C37">
        <f t="shared" si="2"/>
        <v>0.75999999999999801</v>
      </c>
      <c r="D37">
        <f t="shared" si="0"/>
        <v>0.33783197831978318</v>
      </c>
      <c r="E37">
        <v>0</v>
      </c>
      <c r="F37">
        <v>35</v>
      </c>
      <c r="G37">
        <f t="shared" si="3"/>
        <v>4.4769647696476962E-3</v>
      </c>
      <c r="H37">
        <f t="shared" si="4"/>
        <v>6.1333333333333327E-3</v>
      </c>
      <c r="I37">
        <f t="shared" si="5"/>
        <v>1.6563685636856364E-3</v>
      </c>
      <c r="K37">
        <f t="shared" si="6"/>
        <v>0.46666666666666667</v>
      </c>
      <c r="L37">
        <v>0.86999999999999744</v>
      </c>
      <c r="M37">
        <f t="shared" si="11"/>
        <v>7.6299999999999839</v>
      </c>
      <c r="N37">
        <f t="shared" si="7"/>
        <v>4.1355013550135412E-2</v>
      </c>
      <c r="O37">
        <f t="shared" si="8"/>
        <v>0.46666666666666667</v>
      </c>
      <c r="Q37">
        <f t="shared" si="9"/>
        <v>5.199638663053286E-4</v>
      </c>
      <c r="T37">
        <f t="shared" si="10"/>
        <v>0.30894308943089355</v>
      </c>
      <c r="W37">
        <f t="shared" si="1"/>
        <v>1.1061015528391273E-44</v>
      </c>
    </row>
    <row r="38" spans="1:23" x14ac:dyDescent="0.2">
      <c r="A38">
        <v>36</v>
      </c>
      <c r="B38">
        <v>62.44</v>
      </c>
      <c r="C38">
        <f t="shared" si="2"/>
        <v>0.10999999999999943</v>
      </c>
      <c r="D38">
        <f t="shared" si="0"/>
        <v>0.33842818428184279</v>
      </c>
      <c r="E38">
        <v>0</v>
      </c>
      <c r="F38">
        <v>36</v>
      </c>
      <c r="G38">
        <f t="shared" si="3"/>
        <v>4.5084010840108404E-3</v>
      </c>
      <c r="H38">
        <f t="shared" si="4"/>
        <v>6.3111111111111111E-3</v>
      </c>
      <c r="I38">
        <f t="shared" si="5"/>
        <v>1.8027100271002707E-3</v>
      </c>
      <c r="K38">
        <f t="shared" si="6"/>
        <v>0.48</v>
      </c>
      <c r="L38">
        <v>1</v>
      </c>
      <c r="M38">
        <f t="shared" si="11"/>
        <v>8.6299999999999848</v>
      </c>
      <c r="N38">
        <f t="shared" si="7"/>
        <v>4.6775067750677427E-2</v>
      </c>
      <c r="O38">
        <f t="shared" si="8"/>
        <v>0.48</v>
      </c>
      <c r="Q38">
        <f t="shared" si="9"/>
        <v>5.8753387533875233E-4</v>
      </c>
      <c r="T38">
        <f t="shared" si="10"/>
        <v>4.4715447154471316E-2</v>
      </c>
      <c r="W38">
        <f t="shared" si="1"/>
        <v>3.1342183066951225E-47</v>
      </c>
    </row>
    <row r="39" spans="1:23" x14ac:dyDescent="0.2">
      <c r="A39">
        <v>37</v>
      </c>
      <c r="B39">
        <v>66.959999999999994</v>
      </c>
      <c r="C39">
        <f t="shared" si="2"/>
        <v>4.519999999999996</v>
      </c>
      <c r="D39">
        <f t="shared" si="0"/>
        <v>0.36292682926829267</v>
      </c>
      <c r="E39">
        <v>0</v>
      </c>
      <c r="F39">
        <v>37</v>
      </c>
      <c r="G39">
        <f t="shared" si="3"/>
        <v>4.6757000903342363E-3</v>
      </c>
      <c r="H39">
        <f t="shared" si="4"/>
        <v>6.4888888888888895E-3</v>
      </c>
      <c r="I39">
        <f t="shared" si="5"/>
        <v>1.8131887985546533E-3</v>
      </c>
      <c r="K39">
        <f t="shared" si="6"/>
        <v>0.49333333333333335</v>
      </c>
      <c r="L39">
        <v>1.0999999999999943</v>
      </c>
      <c r="M39">
        <f t="shared" si="11"/>
        <v>9.7299999999999791</v>
      </c>
      <c r="N39">
        <f t="shared" si="7"/>
        <v>5.2737127371273597E-2</v>
      </c>
      <c r="O39">
        <f t="shared" si="8"/>
        <v>0.49333333333333335</v>
      </c>
      <c r="Q39">
        <f t="shared" si="9"/>
        <v>6.6341463414634023E-4</v>
      </c>
      <c r="T39">
        <f t="shared" si="10"/>
        <v>1.8373983739837381</v>
      </c>
      <c r="W39">
        <f t="shared" si="1"/>
        <v>7.5283231243809953E-50</v>
      </c>
    </row>
    <row r="40" spans="1:23" x14ac:dyDescent="0.2">
      <c r="A40">
        <v>38</v>
      </c>
      <c r="B40">
        <v>72.650000000000006</v>
      </c>
      <c r="C40">
        <f t="shared" si="2"/>
        <v>5.6900000000000119</v>
      </c>
      <c r="D40">
        <f t="shared" si="0"/>
        <v>0.3937669376693767</v>
      </c>
      <c r="E40">
        <v>1</v>
      </c>
      <c r="F40">
        <v>38</v>
      </c>
      <c r="G40">
        <f t="shared" si="3"/>
        <v>5.0446251129177963E-3</v>
      </c>
      <c r="H40">
        <f t="shared" si="4"/>
        <v>6.6666666666666671E-3</v>
      </c>
      <c r="I40">
        <f t="shared" si="5"/>
        <v>1.6220415537488708E-3</v>
      </c>
      <c r="K40">
        <f t="shared" si="6"/>
        <v>0.50666666666666671</v>
      </c>
      <c r="L40">
        <v>1.33</v>
      </c>
      <c r="M40">
        <f t="shared" si="11"/>
        <v>11.059999999999979</v>
      </c>
      <c r="N40">
        <f t="shared" si="7"/>
        <v>5.994579945799447E-2</v>
      </c>
      <c r="O40">
        <f t="shared" si="8"/>
        <v>0.50666666666666671</v>
      </c>
      <c r="Q40">
        <f t="shared" si="9"/>
        <v>7.5121951219512043E-4</v>
      </c>
      <c r="T40">
        <f t="shared" si="10"/>
        <v>2.3130081300813057</v>
      </c>
      <c r="W40">
        <f t="shared" si="1"/>
        <v>1.5328583602851426E-52</v>
      </c>
    </row>
    <row r="41" spans="1:23" x14ac:dyDescent="0.2">
      <c r="A41">
        <v>39</v>
      </c>
      <c r="B41">
        <v>74</v>
      </c>
      <c r="C41">
        <f t="shared" si="2"/>
        <v>1.3499999999999943</v>
      </c>
      <c r="D41">
        <f t="shared" si="0"/>
        <v>0.40108401084010842</v>
      </c>
      <c r="E41">
        <v>1</v>
      </c>
      <c r="F41">
        <v>39</v>
      </c>
      <c r="G41">
        <f t="shared" si="3"/>
        <v>5.2990063233965675E-3</v>
      </c>
      <c r="H41">
        <f t="shared" si="4"/>
        <v>6.8444444444444455E-3</v>
      </c>
      <c r="I41">
        <f t="shared" si="5"/>
        <v>1.545438121047878E-3</v>
      </c>
      <c r="K41">
        <f t="shared" si="6"/>
        <v>0.52</v>
      </c>
      <c r="L41">
        <v>1.3499999999999943</v>
      </c>
      <c r="M41">
        <f t="shared" si="11"/>
        <v>12.409999999999973</v>
      </c>
      <c r="N41">
        <f t="shared" si="7"/>
        <v>6.7262872628726142E-2</v>
      </c>
      <c r="O41">
        <f t="shared" si="8"/>
        <v>0.52</v>
      </c>
      <c r="Q41">
        <f t="shared" si="9"/>
        <v>8.480578139114706E-4</v>
      </c>
      <c r="T41">
        <f t="shared" si="10"/>
        <v>0.54878048780487576</v>
      </c>
      <c r="W41">
        <f t="shared" si="1"/>
        <v>2.6456998327107269E-55</v>
      </c>
    </row>
    <row r="42" spans="1:23" x14ac:dyDescent="0.2">
      <c r="A42">
        <v>40</v>
      </c>
      <c r="B42">
        <v>79.41</v>
      </c>
      <c r="C42">
        <f t="shared" si="2"/>
        <v>5.4099999999999966</v>
      </c>
      <c r="D42">
        <f t="shared" si="0"/>
        <v>0.43040650406504061</v>
      </c>
      <c r="E42">
        <v>1</v>
      </c>
      <c r="F42">
        <v>40</v>
      </c>
      <c r="G42">
        <f t="shared" si="3"/>
        <v>5.5432700993676602E-3</v>
      </c>
      <c r="H42">
        <f t="shared" si="4"/>
        <v>7.0222222222222214E-3</v>
      </c>
      <c r="I42">
        <f t="shared" si="5"/>
        <v>1.4789521228545611E-3</v>
      </c>
      <c r="K42">
        <f t="shared" si="6"/>
        <v>0.53333333333333333</v>
      </c>
      <c r="L42">
        <v>1.3799999999999955</v>
      </c>
      <c r="M42">
        <f t="shared" si="11"/>
        <v>13.789999999999969</v>
      </c>
      <c r="N42">
        <f t="shared" si="7"/>
        <v>7.4742547425474093E-2</v>
      </c>
      <c r="O42">
        <f t="shared" si="8"/>
        <v>0.53333333333333333</v>
      </c>
      <c r="Q42">
        <f t="shared" si="9"/>
        <v>9.4670280036133504E-4</v>
      </c>
      <c r="T42">
        <f t="shared" si="10"/>
        <v>2.1991869918699174</v>
      </c>
      <c r="W42">
        <f t="shared" si="1"/>
        <v>3.8709171862620349E-58</v>
      </c>
    </row>
    <row r="43" spans="1:23" x14ac:dyDescent="0.2">
      <c r="A43">
        <v>41</v>
      </c>
      <c r="B43">
        <v>88.9</v>
      </c>
      <c r="C43">
        <f t="shared" si="2"/>
        <v>9.4900000000000091</v>
      </c>
      <c r="D43">
        <f t="shared" si="0"/>
        <v>0.48184281842818433</v>
      </c>
      <c r="E43">
        <v>1</v>
      </c>
      <c r="F43">
        <v>41</v>
      </c>
      <c r="G43">
        <f t="shared" si="3"/>
        <v>6.0816621499548322E-3</v>
      </c>
      <c r="H43">
        <f t="shared" si="4"/>
        <v>7.2000000000000007E-3</v>
      </c>
      <c r="I43">
        <f t="shared" si="5"/>
        <v>1.1183378500451684E-3</v>
      </c>
      <c r="K43">
        <f t="shared" si="6"/>
        <v>0.54666666666666663</v>
      </c>
      <c r="L43">
        <v>1.5999999999999943</v>
      </c>
      <c r="M43">
        <f t="shared" si="11"/>
        <v>15.389999999999963</v>
      </c>
      <c r="N43">
        <f t="shared" si="7"/>
        <v>8.341463414634126E-2</v>
      </c>
      <c r="O43">
        <f t="shared" si="8"/>
        <v>0.54666666666666663</v>
      </c>
      <c r="Q43">
        <f t="shared" si="9"/>
        <v>1.054381210478769E-3</v>
      </c>
      <c r="T43">
        <f t="shared" si="10"/>
        <v>3.8577235772357761</v>
      </c>
      <c r="W43">
        <f t="shared" si="1"/>
        <v>4.8008922389192647E-61</v>
      </c>
    </row>
    <row r="44" spans="1:23" x14ac:dyDescent="0.2">
      <c r="A44">
        <v>42</v>
      </c>
      <c r="B44">
        <v>89.04</v>
      </c>
      <c r="C44">
        <f t="shared" si="2"/>
        <v>0.14000000000000057</v>
      </c>
      <c r="D44">
        <f t="shared" si="0"/>
        <v>0.48260162601626022</v>
      </c>
      <c r="E44">
        <v>1</v>
      </c>
      <c r="F44">
        <v>42</v>
      </c>
      <c r="G44">
        <f t="shared" si="3"/>
        <v>6.4296296296296306E-3</v>
      </c>
      <c r="H44">
        <f t="shared" si="4"/>
        <v>7.3777777777777782E-3</v>
      </c>
      <c r="I44">
        <f t="shared" si="5"/>
        <v>9.4814814814814762E-4</v>
      </c>
      <c r="K44">
        <f t="shared" si="6"/>
        <v>0.56000000000000005</v>
      </c>
      <c r="L44">
        <v>1.5999999999999996</v>
      </c>
      <c r="M44">
        <f t="shared" si="11"/>
        <v>16.989999999999963</v>
      </c>
      <c r="N44">
        <f t="shared" si="7"/>
        <v>9.2086720867208469E-2</v>
      </c>
      <c r="O44">
        <f t="shared" si="8"/>
        <v>0.56000000000000005</v>
      </c>
      <c r="Q44">
        <f t="shared" si="9"/>
        <v>1.1700090334236649E-3</v>
      </c>
      <c r="T44">
        <f t="shared" si="10"/>
        <v>5.6910569105691283E-2</v>
      </c>
      <c r="W44">
        <f t="shared" si="1"/>
        <v>5.0473660582905875E-64</v>
      </c>
    </row>
    <row r="45" spans="1:23" x14ac:dyDescent="0.2">
      <c r="A45">
        <v>43</v>
      </c>
      <c r="B45">
        <v>92.96</v>
      </c>
      <c r="C45">
        <f t="shared" si="2"/>
        <v>3.9199999999999875</v>
      </c>
      <c r="D45">
        <f t="shared" si="0"/>
        <v>0.5038482384823848</v>
      </c>
      <c r="E45">
        <v>1</v>
      </c>
      <c r="F45">
        <v>43</v>
      </c>
      <c r="G45">
        <f t="shared" si="3"/>
        <v>6.5763324299909671E-3</v>
      </c>
      <c r="H45">
        <f t="shared" si="4"/>
        <v>7.5555555555555549E-3</v>
      </c>
      <c r="I45">
        <f t="shared" si="5"/>
        <v>9.7922312556458779E-4</v>
      </c>
      <c r="K45">
        <f t="shared" si="6"/>
        <v>0.57333333333333336</v>
      </c>
      <c r="L45">
        <v>1.990000000000002</v>
      </c>
      <c r="M45">
        <f t="shared" si="11"/>
        <v>18.979999999999965</v>
      </c>
      <c r="N45">
        <f t="shared" si="7"/>
        <v>0.10287262872628707</v>
      </c>
      <c r="O45">
        <f t="shared" si="8"/>
        <v>0.57333333333333336</v>
      </c>
      <c r="Q45">
        <f t="shared" si="9"/>
        <v>1.2997289972899702E-3</v>
      </c>
      <c r="T45">
        <f t="shared" si="10"/>
        <v>1.5934959349593445</v>
      </c>
      <c r="W45">
        <f t="shared" si="1"/>
        <v>4.4982378471731291E-67</v>
      </c>
    </row>
    <row r="46" spans="1:23" x14ac:dyDescent="0.2">
      <c r="A46">
        <v>44</v>
      </c>
      <c r="B46">
        <v>99.3</v>
      </c>
      <c r="C46">
        <f t="shared" si="2"/>
        <v>6.3400000000000034</v>
      </c>
      <c r="D46">
        <f t="shared" si="0"/>
        <v>0.53821138211382114</v>
      </c>
      <c r="E46">
        <v>1</v>
      </c>
      <c r="F46">
        <v>44</v>
      </c>
      <c r="G46">
        <f t="shared" si="3"/>
        <v>6.9470641373080401E-3</v>
      </c>
      <c r="H46">
        <f t="shared" si="4"/>
        <v>7.7333333333333342E-3</v>
      </c>
      <c r="I46">
        <f t="shared" si="5"/>
        <v>7.8626919602529412E-4</v>
      </c>
      <c r="K46">
        <f t="shared" si="6"/>
        <v>0.58666666666666667</v>
      </c>
      <c r="L46">
        <v>2.1000000000000014</v>
      </c>
      <c r="M46">
        <f t="shared" si="11"/>
        <v>21.079999999999966</v>
      </c>
      <c r="N46">
        <f t="shared" si="7"/>
        <v>0.11425474254742529</v>
      </c>
      <c r="O46">
        <f t="shared" si="8"/>
        <v>0.58666666666666667</v>
      </c>
      <c r="Q46">
        <f t="shared" si="9"/>
        <v>1.4475158084914157E-3</v>
      </c>
      <c r="T46">
        <f t="shared" si="10"/>
        <v>2.5772357723577248</v>
      </c>
      <c r="W46">
        <f t="shared" si="1"/>
        <v>3.3982458487104269E-70</v>
      </c>
    </row>
    <row r="47" spans="1:23" x14ac:dyDescent="0.2">
      <c r="A47">
        <v>45</v>
      </c>
      <c r="B47">
        <v>107.27</v>
      </c>
      <c r="C47">
        <f t="shared" si="2"/>
        <v>7.9699999999999989</v>
      </c>
      <c r="D47">
        <f t="shared" si="0"/>
        <v>0.58140921409214086</v>
      </c>
      <c r="E47">
        <v>1</v>
      </c>
      <c r="F47">
        <v>45</v>
      </c>
      <c r="G47">
        <f t="shared" si="3"/>
        <v>7.4641373080397465E-3</v>
      </c>
      <c r="H47">
        <f t="shared" si="4"/>
        <v>7.9111111111111101E-3</v>
      </c>
      <c r="I47">
        <f t="shared" si="5"/>
        <v>4.4697380307136356E-4</v>
      </c>
      <c r="K47">
        <f t="shared" si="6"/>
        <v>0.6</v>
      </c>
      <c r="L47">
        <v>2.1999999999999886</v>
      </c>
      <c r="M47">
        <f t="shared" si="11"/>
        <v>23.279999999999955</v>
      </c>
      <c r="N47">
        <f t="shared" si="7"/>
        <v>0.12617886178861765</v>
      </c>
      <c r="O47">
        <f t="shared" si="8"/>
        <v>0.6</v>
      </c>
      <c r="Q47">
        <f t="shared" si="9"/>
        <v>1.6028906955736196E-3</v>
      </c>
      <c r="T47">
        <f t="shared" si="10"/>
        <v>3.2398373983739832</v>
      </c>
      <c r="W47">
        <f t="shared" si="1"/>
        <v>2.176215714995487E-73</v>
      </c>
    </row>
    <row r="48" spans="1:23" x14ac:dyDescent="0.2">
      <c r="A48">
        <v>46</v>
      </c>
      <c r="B48">
        <v>107.42</v>
      </c>
      <c r="C48">
        <f t="shared" si="2"/>
        <v>0.15000000000000568</v>
      </c>
      <c r="D48">
        <f t="shared" si="0"/>
        <v>0.5822222222222222</v>
      </c>
      <c r="E48">
        <v>1</v>
      </c>
      <c r="F48">
        <v>46</v>
      </c>
      <c r="G48">
        <f t="shared" si="3"/>
        <v>7.7575429087624196E-3</v>
      </c>
      <c r="H48">
        <f t="shared" si="4"/>
        <v>8.0888888888888885E-3</v>
      </c>
      <c r="I48">
        <f t="shared" si="5"/>
        <v>3.3134598012646895E-4</v>
      </c>
      <c r="K48">
        <f t="shared" si="6"/>
        <v>0.61333333333333329</v>
      </c>
      <c r="L48">
        <v>2.2299999999999969</v>
      </c>
      <c r="M48">
        <f t="shared" si="11"/>
        <v>25.509999999999952</v>
      </c>
      <c r="N48">
        <f t="shared" si="7"/>
        <v>0.13826558265582631</v>
      </c>
      <c r="O48">
        <f t="shared" si="8"/>
        <v>0.61333333333333329</v>
      </c>
      <c r="Q48">
        <f t="shared" si="9"/>
        <v>1.7629629629629595E-3</v>
      </c>
      <c r="T48">
        <f t="shared" si="10"/>
        <v>6.097560975609987E-2</v>
      </c>
      <c r="W48">
        <f t="shared" si="1"/>
        <v>1.1813643378502378E-76</v>
      </c>
    </row>
    <row r="49" spans="1:23" x14ac:dyDescent="0.2">
      <c r="A49">
        <v>47</v>
      </c>
      <c r="B49">
        <v>108.8</v>
      </c>
      <c r="C49">
        <f t="shared" si="2"/>
        <v>1.3799999999999955</v>
      </c>
      <c r="D49">
        <f t="shared" si="0"/>
        <v>0.58970189701897013</v>
      </c>
      <c r="E49">
        <v>1</v>
      </c>
      <c r="F49">
        <v>47</v>
      </c>
      <c r="G49">
        <f t="shared" si="3"/>
        <v>7.8128274616079477E-3</v>
      </c>
      <c r="H49">
        <f t="shared" si="4"/>
        <v>8.266666666666667E-3</v>
      </c>
      <c r="I49">
        <f t="shared" si="5"/>
        <v>4.5383920505871929E-4</v>
      </c>
      <c r="K49">
        <f t="shared" si="6"/>
        <v>0.62666666666666671</v>
      </c>
      <c r="L49">
        <v>2.34</v>
      </c>
      <c r="M49">
        <f t="shared" si="11"/>
        <v>27.849999999999952</v>
      </c>
      <c r="N49">
        <f t="shared" si="7"/>
        <v>0.15094850948509458</v>
      </c>
      <c r="O49">
        <f t="shared" si="8"/>
        <v>0.62666666666666671</v>
      </c>
      <c r="Q49">
        <f t="shared" si="9"/>
        <v>1.928093947606139E-3</v>
      </c>
      <c r="T49">
        <f t="shared" si="10"/>
        <v>0.56097560975609573</v>
      </c>
      <c r="W49">
        <f t="shared" si="1"/>
        <v>5.4362639904121688E-80</v>
      </c>
    </row>
    <row r="50" spans="1:23" x14ac:dyDescent="0.2">
      <c r="A50">
        <v>48</v>
      </c>
      <c r="B50">
        <v>108.8</v>
      </c>
      <c r="C50">
        <f t="shared" si="2"/>
        <v>0</v>
      </c>
      <c r="D50">
        <f t="shared" si="0"/>
        <v>0.58970189701897013</v>
      </c>
      <c r="E50">
        <v>1</v>
      </c>
      <c r="F50">
        <v>48</v>
      </c>
      <c r="G50">
        <f t="shared" si="3"/>
        <v>7.862691960252936E-3</v>
      </c>
      <c r="H50">
        <f t="shared" si="4"/>
        <v>8.4444444444444437E-3</v>
      </c>
      <c r="I50">
        <f t="shared" si="5"/>
        <v>5.8175248419150768E-4</v>
      </c>
      <c r="K50">
        <f t="shared" si="6"/>
        <v>0.64</v>
      </c>
      <c r="L50">
        <v>2.490000000000002</v>
      </c>
      <c r="M50">
        <f t="shared" si="11"/>
        <v>30.339999999999954</v>
      </c>
      <c r="N50">
        <f t="shared" si="7"/>
        <v>0.1644444444444442</v>
      </c>
      <c r="O50">
        <f t="shared" si="8"/>
        <v>0.64</v>
      </c>
      <c r="Q50">
        <f t="shared" si="9"/>
        <v>2.102619692863592E-3</v>
      </c>
      <c r="T50">
        <f t="shared" si="10"/>
        <v>0</v>
      </c>
      <c r="W50">
        <f t="shared" si="1"/>
        <v>2.1205669452943073E-83</v>
      </c>
    </row>
    <row r="51" spans="1:23" x14ac:dyDescent="0.2">
      <c r="A51">
        <v>49</v>
      </c>
      <c r="B51">
        <v>108.8</v>
      </c>
      <c r="C51">
        <f t="shared" si="2"/>
        <v>0</v>
      </c>
      <c r="D51">
        <f t="shared" si="0"/>
        <v>0.58970189701897013</v>
      </c>
      <c r="E51">
        <v>1</v>
      </c>
      <c r="F51">
        <v>49</v>
      </c>
      <c r="G51">
        <f t="shared" si="3"/>
        <v>7.862691960252936E-3</v>
      </c>
      <c r="H51">
        <f t="shared" si="4"/>
        <v>8.6222222222222238E-3</v>
      </c>
      <c r="I51">
        <f t="shared" si="5"/>
        <v>7.5953026196928786E-4</v>
      </c>
      <c r="K51">
        <f t="shared" si="6"/>
        <v>0.65333333333333332</v>
      </c>
      <c r="L51">
        <v>2.6999999999999886</v>
      </c>
      <c r="M51">
        <f t="shared" si="11"/>
        <v>33.039999999999942</v>
      </c>
      <c r="N51">
        <f t="shared" si="7"/>
        <v>0.17907859078590754</v>
      </c>
      <c r="O51">
        <f t="shared" si="8"/>
        <v>0.65333333333333332</v>
      </c>
      <c r="Q51">
        <f t="shared" si="9"/>
        <v>2.2901535682023451E-3</v>
      </c>
      <c r="T51">
        <f t="shared" si="10"/>
        <v>0</v>
      </c>
      <c r="W51">
        <f t="shared" si="1"/>
        <v>7.0119402053386169E-87</v>
      </c>
    </row>
    <row r="52" spans="1:23" x14ac:dyDescent="0.2">
      <c r="A52">
        <v>50</v>
      </c>
      <c r="B52">
        <v>108.8</v>
      </c>
      <c r="C52">
        <f t="shared" si="2"/>
        <v>0</v>
      </c>
      <c r="D52">
        <f t="shared" si="0"/>
        <v>0.58970189701897013</v>
      </c>
      <c r="E52">
        <v>1</v>
      </c>
      <c r="F52">
        <v>50</v>
      </c>
      <c r="G52">
        <f t="shared" si="3"/>
        <v>7.862691960252936E-3</v>
      </c>
      <c r="H52">
        <f t="shared" si="4"/>
        <v>8.7999999999999988E-3</v>
      </c>
      <c r="I52">
        <f t="shared" si="5"/>
        <v>9.3730803974706282E-4</v>
      </c>
      <c r="K52">
        <f t="shared" si="6"/>
        <v>0.66666666666666663</v>
      </c>
      <c r="L52">
        <v>2.9899999999999984</v>
      </c>
      <c r="M52">
        <f t="shared" si="11"/>
        <v>36.029999999999944</v>
      </c>
      <c r="N52">
        <f t="shared" si="7"/>
        <v>0.19528455284552815</v>
      </c>
      <c r="O52">
        <f t="shared" si="8"/>
        <v>0.66666666666666663</v>
      </c>
      <c r="Q52">
        <f t="shared" si="9"/>
        <v>2.4957542908762378E-3</v>
      </c>
      <c r="T52">
        <f t="shared" si="10"/>
        <v>0</v>
      </c>
      <c r="W52">
        <f t="shared" si="1"/>
        <v>1.9654372727910898E-90</v>
      </c>
    </row>
    <row r="53" spans="1:23" x14ac:dyDescent="0.2">
      <c r="A53">
        <v>51</v>
      </c>
      <c r="B53">
        <v>122.59</v>
      </c>
      <c r="C53">
        <f t="shared" si="2"/>
        <v>13.790000000000006</v>
      </c>
      <c r="D53">
        <f t="shared" si="0"/>
        <v>0.6644444444444445</v>
      </c>
      <c r="E53">
        <v>1</v>
      </c>
      <c r="F53">
        <v>51</v>
      </c>
      <c r="G53">
        <f t="shared" si="3"/>
        <v>8.3609756097560977E-3</v>
      </c>
      <c r="H53">
        <f t="shared" si="4"/>
        <v>8.9777777777777772E-3</v>
      </c>
      <c r="I53">
        <f t="shared" si="5"/>
        <v>6.1680216802167953E-4</v>
      </c>
      <c r="K53">
        <f t="shared" si="6"/>
        <v>0.68</v>
      </c>
      <c r="L53">
        <v>3</v>
      </c>
      <c r="M53">
        <f t="shared" si="11"/>
        <v>39.029999999999944</v>
      </c>
      <c r="N53">
        <f t="shared" si="7"/>
        <v>0.21154471544715417</v>
      </c>
      <c r="O53">
        <f t="shared" si="8"/>
        <v>0.68</v>
      </c>
      <c r="Q53">
        <f t="shared" si="9"/>
        <v>2.7121951219512153E-3</v>
      </c>
      <c r="T53">
        <f t="shared" si="10"/>
        <v>5.6056910569105716</v>
      </c>
      <c r="W53">
        <f t="shared" si="1"/>
        <v>4.6699791221899154E-94</v>
      </c>
    </row>
    <row r="54" spans="1:23" x14ac:dyDescent="0.2">
      <c r="A54">
        <v>52</v>
      </c>
      <c r="B54">
        <v>122.85</v>
      </c>
      <c r="C54">
        <f t="shared" si="2"/>
        <v>0.25999999999999091</v>
      </c>
      <c r="D54">
        <f t="shared" si="0"/>
        <v>0.66585365853658529</v>
      </c>
      <c r="E54">
        <v>1</v>
      </c>
      <c r="F54">
        <v>52</v>
      </c>
      <c r="G54">
        <f t="shared" si="3"/>
        <v>8.8686540198735335E-3</v>
      </c>
      <c r="H54">
        <f t="shared" si="4"/>
        <v>9.1555555555555574E-3</v>
      </c>
      <c r="I54">
        <f t="shared" si="5"/>
        <v>2.8690153568202391E-4</v>
      </c>
      <c r="K54">
        <f t="shared" si="6"/>
        <v>0.69333333333333336</v>
      </c>
      <c r="L54">
        <v>3</v>
      </c>
      <c r="M54">
        <f t="shared" si="11"/>
        <v>42.029999999999944</v>
      </c>
      <c r="N54">
        <f t="shared" si="7"/>
        <v>0.22780487804878019</v>
      </c>
      <c r="O54">
        <f t="shared" si="8"/>
        <v>0.69333333333333336</v>
      </c>
      <c r="Q54">
        <f t="shared" si="9"/>
        <v>2.928997289972896E-3</v>
      </c>
      <c r="T54">
        <f t="shared" si="10"/>
        <v>0.10569105691056542</v>
      </c>
      <c r="W54">
        <f t="shared" si="1"/>
        <v>9.4060104635266356E-98</v>
      </c>
    </row>
    <row r="55" spans="1:23" x14ac:dyDescent="0.2">
      <c r="A55">
        <v>53</v>
      </c>
      <c r="B55">
        <v>130</v>
      </c>
      <c r="C55">
        <f t="shared" si="2"/>
        <v>7.1500000000000057</v>
      </c>
      <c r="D55">
        <f t="shared" si="0"/>
        <v>0.70460704607046065</v>
      </c>
      <c r="E55">
        <v>1</v>
      </c>
      <c r="F55">
        <v>53</v>
      </c>
      <c r="G55">
        <f t="shared" si="3"/>
        <v>9.136404697380307E-3</v>
      </c>
      <c r="H55">
        <f t="shared" si="4"/>
        <v>9.3333333333333324E-3</v>
      </c>
      <c r="I55">
        <f t="shared" si="5"/>
        <v>1.9692863595302534E-4</v>
      </c>
      <c r="K55">
        <f t="shared" si="6"/>
        <v>0.70666666666666667</v>
      </c>
      <c r="L55">
        <v>3</v>
      </c>
      <c r="M55">
        <f t="shared" si="11"/>
        <v>45.029999999999944</v>
      </c>
      <c r="N55">
        <f t="shared" si="7"/>
        <v>0.24406504065040621</v>
      </c>
      <c r="O55">
        <f t="shared" si="8"/>
        <v>0.70666666666666667</v>
      </c>
      <c r="Q55">
        <f t="shared" si="9"/>
        <v>3.1457994579945758E-3</v>
      </c>
      <c r="T55">
        <f t="shared" si="10"/>
        <v>2.9065040650406524</v>
      </c>
      <c r="W55">
        <f t="shared" si="1"/>
        <v>1.6059452804101614E-101</v>
      </c>
    </row>
    <row r="56" spans="1:23" x14ac:dyDescent="0.2">
      <c r="A56">
        <v>54</v>
      </c>
      <c r="B56">
        <v>134</v>
      </c>
      <c r="C56">
        <f t="shared" si="2"/>
        <v>4</v>
      </c>
      <c r="D56">
        <f t="shared" si="0"/>
        <v>0.72628726287262868</v>
      </c>
      <c r="E56">
        <v>1</v>
      </c>
      <c r="F56">
        <v>54</v>
      </c>
      <c r="G56">
        <f t="shared" si="3"/>
        <v>9.5392953929539278E-3</v>
      </c>
      <c r="H56">
        <f t="shared" si="4"/>
        <v>9.5111111111111108E-3</v>
      </c>
      <c r="I56">
        <f t="shared" si="5"/>
        <v>2.8184281842816988E-5</v>
      </c>
      <c r="K56">
        <f t="shared" si="6"/>
        <v>0.72</v>
      </c>
      <c r="L56">
        <v>3.0999999999999943</v>
      </c>
      <c r="M56">
        <f t="shared" si="11"/>
        <v>48.129999999999939</v>
      </c>
      <c r="N56">
        <f t="shared" si="7"/>
        <v>0.2608672086720864</v>
      </c>
      <c r="O56">
        <f t="shared" si="8"/>
        <v>0.72</v>
      </c>
      <c r="Q56">
        <f t="shared" si="9"/>
        <v>3.3662149954832841E-3</v>
      </c>
      <c r="T56">
        <f t="shared" si="10"/>
        <v>1.6260162601626016</v>
      </c>
      <c r="W56">
        <f t="shared" si="1"/>
        <v>2.3242925846781095E-105</v>
      </c>
    </row>
    <row r="57" spans="1:23" x14ac:dyDescent="0.2">
      <c r="A57">
        <v>55</v>
      </c>
      <c r="B57">
        <v>134</v>
      </c>
      <c r="C57">
        <f t="shared" si="2"/>
        <v>0</v>
      </c>
      <c r="D57">
        <f t="shared" si="0"/>
        <v>0.72628726287262868</v>
      </c>
      <c r="E57">
        <v>1</v>
      </c>
      <c r="F57">
        <v>55</v>
      </c>
      <c r="G57">
        <f t="shared" si="3"/>
        <v>9.6838301716350491E-3</v>
      </c>
      <c r="H57">
        <f t="shared" si="4"/>
        <v>9.6888888888888875E-3</v>
      </c>
      <c r="I57">
        <f t="shared" si="5"/>
        <v>5.0587172538384129E-6</v>
      </c>
      <c r="K57">
        <f t="shared" si="6"/>
        <v>0.73333333333333328</v>
      </c>
      <c r="L57">
        <v>3.4000000000000057</v>
      </c>
      <c r="M57">
        <f t="shared" si="11"/>
        <v>51.529999999999944</v>
      </c>
      <c r="N57">
        <f t="shared" si="7"/>
        <v>0.27929539295392924</v>
      </c>
      <c r="O57">
        <f t="shared" si="8"/>
        <v>0.73333333333333328</v>
      </c>
      <c r="Q57">
        <f t="shared" si="9"/>
        <v>3.6010840108401045E-3</v>
      </c>
      <c r="T57">
        <f t="shared" si="10"/>
        <v>0</v>
      </c>
      <c r="W57">
        <f t="shared" si="1"/>
        <v>2.8515803754916621E-109</v>
      </c>
    </row>
    <row r="58" spans="1:23" x14ac:dyDescent="0.2">
      <c r="A58">
        <v>56</v>
      </c>
      <c r="B58">
        <v>136.19999999999999</v>
      </c>
      <c r="C58">
        <f t="shared" si="2"/>
        <v>2.1999999999999886</v>
      </c>
      <c r="D58">
        <f t="shared" si="0"/>
        <v>0.73821138211382109</v>
      </c>
      <c r="E58">
        <v>1</v>
      </c>
      <c r="F58">
        <v>56</v>
      </c>
      <c r="G58">
        <f t="shared" si="3"/>
        <v>9.7633242999096651E-3</v>
      </c>
      <c r="H58">
        <f t="shared" si="4"/>
        <v>9.8666666666666659E-3</v>
      </c>
      <c r="I58">
        <f t="shared" si="5"/>
        <v>1.0334236675700083E-4</v>
      </c>
      <c r="K58">
        <f t="shared" si="6"/>
        <v>0.7466666666666667</v>
      </c>
      <c r="L58">
        <v>3.9199999999999875</v>
      </c>
      <c r="M58">
        <f t="shared" si="11"/>
        <v>55.449999999999932</v>
      </c>
      <c r="N58">
        <f t="shared" si="7"/>
        <v>0.30054200542005383</v>
      </c>
      <c r="O58">
        <f t="shared" si="8"/>
        <v>0.7466666666666667</v>
      </c>
      <c r="Q58">
        <f t="shared" si="9"/>
        <v>3.8655826558265539E-3</v>
      </c>
      <c r="T58">
        <f t="shared" si="10"/>
        <v>0.89430894308942621</v>
      </c>
      <c r="W58">
        <f t="shared" si="1"/>
        <v>2.9656179739089019E-113</v>
      </c>
    </row>
    <row r="59" spans="1:23" x14ac:dyDescent="0.2">
      <c r="A59">
        <v>57</v>
      </c>
      <c r="B59">
        <v>139.19999999999999</v>
      </c>
      <c r="C59">
        <f t="shared" si="2"/>
        <v>3</v>
      </c>
      <c r="D59">
        <f t="shared" si="0"/>
        <v>0.75447154471544708</v>
      </c>
      <c r="E59">
        <v>1</v>
      </c>
      <c r="F59">
        <v>57</v>
      </c>
      <c r="G59">
        <f t="shared" si="3"/>
        <v>9.9512195121951221E-3</v>
      </c>
      <c r="H59">
        <f t="shared" si="4"/>
        <v>1.0044444444444446E-2</v>
      </c>
      <c r="I59">
        <f t="shared" si="5"/>
        <v>9.3224932249324002E-5</v>
      </c>
      <c r="K59">
        <f t="shared" si="6"/>
        <v>0.76</v>
      </c>
      <c r="L59">
        <v>3.9799999999999986</v>
      </c>
      <c r="M59">
        <f t="shared" si="11"/>
        <v>59.429999999999929</v>
      </c>
      <c r="N59">
        <f t="shared" si="7"/>
        <v>0.32211382113821102</v>
      </c>
      <c r="O59">
        <f t="shared" si="8"/>
        <v>0.76</v>
      </c>
      <c r="Q59">
        <f t="shared" si="9"/>
        <v>4.1510388437217662E-3</v>
      </c>
      <c r="T59">
        <f t="shared" si="10"/>
        <v>1.2195121951219514</v>
      </c>
      <c r="W59">
        <f t="shared" si="1"/>
        <v>2.6144453037233405E-117</v>
      </c>
    </row>
    <row r="60" spans="1:23" x14ac:dyDescent="0.2">
      <c r="A60">
        <v>58</v>
      </c>
      <c r="B60">
        <v>143.9</v>
      </c>
      <c r="C60">
        <f t="shared" si="2"/>
        <v>4.7000000000000171</v>
      </c>
      <c r="D60">
        <f t="shared" si="0"/>
        <v>0.77994579945799458</v>
      </c>
      <c r="E60">
        <v>1</v>
      </c>
      <c r="F60">
        <v>58</v>
      </c>
      <c r="G60">
        <f t="shared" si="3"/>
        <v>1.0229448961156278E-2</v>
      </c>
      <c r="H60">
        <f t="shared" si="4"/>
        <v>1.0222222222222221E-2</v>
      </c>
      <c r="I60">
        <f t="shared" si="5"/>
        <v>7.2267389340571059E-6</v>
      </c>
      <c r="K60">
        <f t="shared" si="6"/>
        <v>0.77333333333333332</v>
      </c>
      <c r="L60">
        <v>4</v>
      </c>
      <c r="M60">
        <f t="shared" si="11"/>
        <v>63.429999999999929</v>
      </c>
      <c r="N60">
        <f t="shared" si="7"/>
        <v>0.34379403794037899</v>
      </c>
      <c r="O60">
        <f t="shared" si="8"/>
        <v>0.77333333333333332</v>
      </c>
      <c r="Q60">
        <f t="shared" si="9"/>
        <v>4.4393857271906008E-3</v>
      </c>
      <c r="T60">
        <f t="shared" si="10"/>
        <v>1.9105691056910639</v>
      </c>
      <c r="W60">
        <f t="shared" si="1"/>
        <v>1.9537936020393253E-121</v>
      </c>
    </row>
    <row r="61" spans="1:23" x14ac:dyDescent="0.2">
      <c r="A61">
        <v>59</v>
      </c>
      <c r="B61">
        <v>146.6</v>
      </c>
      <c r="C61">
        <f t="shared" si="2"/>
        <v>2.6999999999999886</v>
      </c>
      <c r="D61">
        <f t="shared" si="0"/>
        <v>0.79457994579945801</v>
      </c>
      <c r="E61">
        <v>1</v>
      </c>
      <c r="F61">
        <v>59</v>
      </c>
      <c r="G61">
        <f t="shared" si="3"/>
        <v>1.0496838301716351E-2</v>
      </c>
      <c r="H61">
        <f t="shared" si="4"/>
        <v>1.04E-2</v>
      </c>
      <c r="I61">
        <f t="shared" si="5"/>
        <v>9.6838301716351688E-5</v>
      </c>
      <c r="K61">
        <f t="shared" si="6"/>
        <v>0.78666666666666663</v>
      </c>
      <c r="L61">
        <v>4.1099999999999994</v>
      </c>
      <c r="M61">
        <f t="shared" si="11"/>
        <v>67.539999999999935</v>
      </c>
      <c r="N61">
        <f t="shared" si="7"/>
        <v>0.36607046070460669</v>
      </c>
      <c r="O61">
        <f t="shared" si="8"/>
        <v>0.78666666666666663</v>
      </c>
      <c r="Q61">
        <f t="shared" si="9"/>
        <v>4.7324299909665716E-3</v>
      </c>
      <c r="T61">
        <f t="shared" si="10"/>
        <v>1.0975609756097515</v>
      </c>
      <c r="W61">
        <f t="shared" si="1"/>
        <v>1.2376919694409941E-125</v>
      </c>
    </row>
    <row r="62" spans="1:23" x14ac:dyDescent="0.2">
      <c r="A62">
        <v>60</v>
      </c>
      <c r="B62">
        <v>149.69999999999999</v>
      </c>
      <c r="C62">
        <f t="shared" si="2"/>
        <v>3.0999999999999943</v>
      </c>
      <c r="D62">
        <f t="shared" si="0"/>
        <v>0.81138211382113812</v>
      </c>
      <c r="E62">
        <v>1</v>
      </c>
      <c r="F62">
        <v>60</v>
      </c>
      <c r="G62">
        <f t="shared" si="3"/>
        <v>1.0706413730803974E-2</v>
      </c>
      <c r="H62">
        <f t="shared" si="4"/>
        <v>1.0577777777777778E-2</v>
      </c>
      <c r="I62">
        <f t="shared" si="5"/>
        <v>1.2863595302619636E-4</v>
      </c>
      <c r="K62">
        <f t="shared" si="6"/>
        <v>0.8</v>
      </c>
      <c r="L62">
        <v>4.46</v>
      </c>
      <c r="M62">
        <f t="shared" si="11"/>
        <v>71.999999999999929</v>
      </c>
      <c r="N62">
        <f t="shared" si="7"/>
        <v>0.39024390243902402</v>
      </c>
      <c r="O62">
        <f t="shared" si="8"/>
        <v>0.8</v>
      </c>
      <c r="Q62">
        <f t="shared" si="9"/>
        <v>5.042095754290871E-3</v>
      </c>
      <c r="T62">
        <f t="shared" si="10"/>
        <v>1.2601626016260139</v>
      </c>
      <c r="W62">
        <f t="shared" si="1"/>
        <v>6.6463197405140669E-130</v>
      </c>
    </row>
    <row r="63" spans="1:23" x14ac:dyDescent="0.2">
      <c r="A63">
        <v>61</v>
      </c>
      <c r="B63">
        <v>153.1</v>
      </c>
      <c r="C63">
        <f t="shared" si="2"/>
        <v>3.4000000000000057</v>
      </c>
      <c r="D63">
        <f t="shared" si="0"/>
        <v>0.82981029810298101</v>
      </c>
      <c r="E63">
        <v>1</v>
      </c>
      <c r="F63">
        <v>61</v>
      </c>
      <c r="G63">
        <f t="shared" si="3"/>
        <v>1.0941282746160793E-2</v>
      </c>
      <c r="H63">
        <f t="shared" si="4"/>
        <v>1.0755555555555555E-2</v>
      </c>
      <c r="I63">
        <f t="shared" si="5"/>
        <v>1.857271906052383E-4</v>
      </c>
      <c r="K63">
        <f t="shared" si="6"/>
        <v>0.81333333333333335</v>
      </c>
      <c r="L63">
        <v>4.519999999999996</v>
      </c>
      <c r="M63">
        <f t="shared" si="11"/>
        <v>76.519999999999925</v>
      </c>
      <c r="N63">
        <f t="shared" si="7"/>
        <v>0.41474254742547384</v>
      </c>
      <c r="O63">
        <f t="shared" si="8"/>
        <v>0.81333333333333335</v>
      </c>
      <c r="Q63">
        <f t="shared" si="9"/>
        <v>5.366576332429986E-3</v>
      </c>
      <c r="T63">
        <f t="shared" si="10"/>
        <v>1.3821138211382136</v>
      </c>
      <c r="W63">
        <f t="shared" si="1"/>
        <v>3.02541290548368E-134</v>
      </c>
    </row>
    <row r="64" spans="1:23" x14ac:dyDescent="0.2">
      <c r="A64">
        <v>62</v>
      </c>
      <c r="B64">
        <v>154.19999999999999</v>
      </c>
      <c r="C64">
        <f t="shared" si="2"/>
        <v>1.0999999999999943</v>
      </c>
      <c r="D64">
        <f t="shared" si="0"/>
        <v>0.83577235772357716</v>
      </c>
      <c r="E64">
        <v>1</v>
      </c>
      <c r="F64">
        <v>62</v>
      </c>
      <c r="G64">
        <f t="shared" si="3"/>
        <v>1.1103884372177054E-2</v>
      </c>
      <c r="H64">
        <f t="shared" si="4"/>
        <v>1.0933333333333335E-2</v>
      </c>
      <c r="I64">
        <f t="shared" si="5"/>
        <v>1.705510388437196E-4</v>
      </c>
      <c r="K64">
        <f t="shared" si="6"/>
        <v>0.82666666666666666</v>
      </c>
      <c r="L64">
        <v>4.7000000000000171</v>
      </c>
      <c r="M64">
        <f t="shared" si="11"/>
        <v>81.219999999999942</v>
      </c>
      <c r="N64">
        <f t="shared" si="7"/>
        <v>0.44021680216802139</v>
      </c>
      <c r="O64">
        <f t="shared" si="8"/>
        <v>0.82666666666666666</v>
      </c>
      <c r="Q64">
        <f t="shared" si="9"/>
        <v>5.6997289972899687E-3</v>
      </c>
      <c r="T64">
        <f t="shared" si="10"/>
        <v>0.44715447154471311</v>
      </c>
      <c r="W64">
        <f t="shared" si="1"/>
        <v>1.1674084893879524E-138</v>
      </c>
    </row>
    <row r="65" spans="1:23" x14ac:dyDescent="0.2">
      <c r="A65" t="s">
        <v>2</v>
      </c>
      <c r="B65">
        <v>154.5</v>
      </c>
      <c r="C65">
        <f t="shared" si="2"/>
        <v>0.30000000000001137</v>
      </c>
      <c r="D65">
        <f t="shared" si="0"/>
        <v>0.83739837398373984</v>
      </c>
      <c r="E65">
        <v>1</v>
      </c>
      <c r="F65">
        <v>63</v>
      </c>
      <c r="G65">
        <f t="shared" si="3"/>
        <v>1.1154471544715447E-2</v>
      </c>
      <c r="H65">
        <f t="shared" si="4"/>
        <v>1.111111111111111E-2</v>
      </c>
      <c r="I65">
        <f t="shared" si="5"/>
        <v>4.3360433604337431E-5</v>
      </c>
      <c r="K65">
        <f t="shared" si="6"/>
        <v>0.84</v>
      </c>
      <c r="L65">
        <v>5.4099999999999966</v>
      </c>
      <c r="M65">
        <f t="shared" si="11"/>
        <v>86.629999999999939</v>
      </c>
      <c r="N65">
        <f t="shared" si="7"/>
        <v>0.46953929539295358</v>
      </c>
      <c r="O65">
        <f t="shared" si="8"/>
        <v>0.84</v>
      </c>
      <c r="Q65">
        <f t="shared" si="9"/>
        <v>6.0650406504065002E-3</v>
      </c>
      <c r="T65">
        <f t="shared" si="10"/>
        <v>0.12195121951219974</v>
      </c>
      <c r="W65">
        <f t="shared" si="1"/>
        <v>3.8185264795618992E-143</v>
      </c>
    </row>
    <row r="66" spans="1:23" x14ac:dyDescent="0.2">
      <c r="A66" t="s">
        <v>3</v>
      </c>
      <c r="B66">
        <v>154.6</v>
      </c>
      <c r="C66">
        <f t="shared" si="2"/>
        <v>9.9999999999994316E-2</v>
      </c>
      <c r="D66">
        <f t="shared" si="0"/>
        <v>0.83794037940379396</v>
      </c>
      <c r="E66">
        <v>1</v>
      </c>
      <c r="F66">
        <v>64</v>
      </c>
      <c r="G66">
        <f t="shared" si="3"/>
        <v>1.1168925022583558E-2</v>
      </c>
      <c r="H66">
        <f t="shared" si="4"/>
        <v>1.1288888888888888E-2</v>
      </c>
      <c r="I66">
        <f t="shared" si="5"/>
        <v>1.1996386630533026E-4</v>
      </c>
      <c r="K66">
        <f t="shared" si="6"/>
        <v>0.85333333333333339</v>
      </c>
      <c r="L66">
        <v>5.6900000000000119</v>
      </c>
      <c r="M66">
        <f t="shared" si="11"/>
        <v>92.319999999999951</v>
      </c>
      <c r="N66">
        <f t="shared" si="7"/>
        <v>0.50037940379403767</v>
      </c>
      <c r="O66">
        <f t="shared" si="8"/>
        <v>0.85333333333333339</v>
      </c>
      <c r="Q66">
        <f t="shared" si="9"/>
        <v>6.466124661246608E-3</v>
      </c>
      <c r="T66">
        <f t="shared" si="10"/>
        <v>4.0650406504062729E-2</v>
      </c>
      <c r="W66">
        <f t="shared" si="1"/>
        <v>1.0587746469856925E-147</v>
      </c>
    </row>
    <row r="67" spans="1:23" x14ac:dyDescent="0.2">
      <c r="A67">
        <v>66</v>
      </c>
      <c r="B67">
        <v>154.69999999999999</v>
      </c>
      <c r="C67">
        <f t="shared" si="2"/>
        <v>9.9999999999994316E-2</v>
      </c>
      <c r="D67">
        <f t="shared" ref="D67:D77" si="12">B67/184.5</f>
        <v>0.83848238482384818</v>
      </c>
      <c r="E67">
        <v>1</v>
      </c>
      <c r="F67">
        <v>65</v>
      </c>
      <c r="G67">
        <f t="shared" si="3"/>
        <v>1.1176151761517615E-2</v>
      </c>
      <c r="H67">
        <f t="shared" si="4"/>
        <v>1.1466666666666668E-2</v>
      </c>
      <c r="I67">
        <f t="shared" si="5"/>
        <v>2.9051490514905333E-4</v>
      </c>
      <c r="K67">
        <f t="shared" si="6"/>
        <v>0.8666666666666667</v>
      </c>
      <c r="L67">
        <v>6.3400000000000034</v>
      </c>
      <c r="M67">
        <f t="shared" si="11"/>
        <v>98.659999999999954</v>
      </c>
      <c r="N67">
        <f t="shared" si="7"/>
        <v>0.534742547425474</v>
      </c>
      <c r="O67">
        <f t="shared" si="8"/>
        <v>0.8666666666666667</v>
      </c>
      <c r="Q67">
        <f t="shared" si="9"/>
        <v>6.9008130081300786E-3</v>
      </c>
      <c r="T67">
        <f t="shared" si="10"/>
        <v>4.0650406504062729E-2</v>
      </c>
      <c r="W67">
        <f t="shared" ref="W67:W77" si="13">EXP(-(F67^2)/2/V$2^2)</f>
        <v>2.4885480309827767E-152</v>
      </c>
    </row>
    <row r="68" spans="1:23" x14ac:dyDescent="0.2">
      <c r="A68">
        <v>67</v>
      </c>
      <c r="B68">
        <v>161.80000000000001</v>
      </c>
      <c r="C68">
        <f t="shared" ref="C68:C77" si="14">B68-B67</f>
        <v>7.1000000000000227</v>
      </c>
      <c r="D68">
        <f t="shared" si="12"/>
        <v>0.87696476964769654</v>
      </c>
      <c r="E68">
        <v>1</v>
      </c>
      <c r="F68">
        <v>66</v>
      </c>
      <c r="G68">
        <f t="shared" ref="G68:G77" si="15">(D67+D68)/150</f>
        <v>1.1436314363143631E-2</v>
      </c>
      <c r="H68">
        <f t="shared" ref="H68:H77" si="16">(K67+K68)/150</f>
        <v>1.1644444444444443E-2</v>
      </c>
      <c r="I68">
        <f t="shared" ref="I68:I77" si="17">ABS(G68-H68)</f>
        <v>2.0813008130081238E-4</v>
      </c>
      <c r="K68">
        <f t="shared" ref="K68:K77" si="18">F68/75</f>
        <v>0.88</v>
      </c>
      <c r="L68">
        <v>7.1000000000000227</v>
      </c>
      <c r="M68">
        <f t="shared" si="11"/>
        <v>105.75999999999998</v>
      </c>
      <c r="N68">
        <f t="shared" ref="N68:N77" si="19">M68/184.5</f>
        <v>0.57322493224932236</v>
      </c>
      <c r="O68">
        <f t="shared" ref="O68:O77" si="20">F68/75</f>
        <v>0.88</v>
      </c>
      <c r="Q68">
        <f t="shared" ref="Q68:Q77" si="21">(N67+N68)/150</f>
        <v>7.3864498644986417E-3</v>
      </c>
      <c r="T68">
        <f t="shared" ref="T68:T78" si="22">C68/184.5*75</f>
        <v>2.8861788617886268</v>
      </c>
      <c r="W68">
        <f t="shared" si="13"/>
        <v>4.9581914125968838E-157</v>
      </c>
    </row>
    <row r="69" spans="1:23" x14ac:dyDescent="0.2">
      <c r="A69">
        <v>68</v>
      </c>
      <c r="B69">
        <v>164.8</v>
      </c>
      <c r="C69">
        <f t="shared" si="14"/>
        <v>3</v>
      </c>
      <c r="D69">
        <f t="shared" si="12"/>
        <v>0.89322493224932253</v>
      </c>
      <c r="E69">
        <v>1</v>
      </c>
      <c r="F69">
        <v>67</v>
      </c>
      <c r="G69">
        <f t="shared" si="15"/>
        <v>1.180126467931346E-2</v>
      </c>
      <c r="H69">
        <f t="shared" si="16"/>
        <v>1.1822222222222224E-2</v>
      </c>
      <c r="I69">
        <f t="shared" si="17"/>
        <v>2.0957542908763352E-5</v>
      </c>
      <c r="K69">
        <f t="shared" si="18"/>
        <v>0.89333333333333331</v>
      </c>
      <c r="L69">
        <v>7.1500000000000057</v>
      </c>
      <c r="M69">
        <f t="shared" ref="M69:M77" si="23">M68+L69</f>
        <v>112.90999999999998</v>
      </c>
      <c r="N69">
        <f t="shared" si="19"/>
        <v>0.61197831978319772</v>
      </c>
      <c r="O69">
        <f t="shared" si="20"/>
        <v>0.89333333333333331</v>
      </c>
      <c r="Q69">
        <f t="shared" si="21"/>
        <v>7.9013550135501338E-3</v>
      </c>
      <c r="T69">
        <f t="shared" si="22"/>
        <v>1.2195121951219514</v>
      </c>
      <c r="W69">
        <f t="shared" si="13"/>
        <v>8.3740455259489122E-162</v>
      </c>
    </row>
    <row r="70" spans="1:23" x14ac:dyDescent="0.2">
      <c r="A70">
        <v>69</v>
      </c>
      <c r="B70">
        <v>166.4</v>
      </c>
      <c r="C70">
        <f t="shared" si="14"/>
        <v>1.5999999999999943</v>
      </c>
      <c r="D70">
        <f t="shared" si="12"/>
        <v>0.9018970189701897</v>
      </c>
      <c r="E70">
        <v>1</v>
      </c>
      <c r="F70">
        <v>68</v>
      </c>
      <c r="G70">
        <f t="shared" si="15"/>
        <v>1.1967479674796748E-2</v>
      </c>
      <c r="H70">
        <f t="shared" si="16"/>
        <v>1.1999999999999999E-2</v>
      </c>
      <c r="I70">
        <f t="shared" si="17"/>
        <v>3.2520325203250905E-5</v>
      </c>
      <c r="K70">
        <f t="shared" si="18"/>
        <v>0.90666666666666662</v>
      </c>
      <c r="L70">
        <v>7.3999999999999986</v>
      </c>
      <c r="M70">
        <f t="shared" si="23"/>
        <v>120.30999999999997</v>
      </c>
      <c r="N70">
        <f t="shared" si="19"/>
        <v>0.65208672086720854</v>
      </c>
      <c r="O70">
        <f t="shared" si="20"/>
        <v>0.90666666666666662</v>
      </c>
      <c r="Q70">
        <f t="shared" si="21"/>
        <v>8.427100271002708E-3</v>
      </c>
      <c r="T70">
        <f t="shared" si="22"/>
        <v>0.6504065040650383</v>
      </c>
      <c r="W70">
        <f t="shared" si="13"/>
        <v>1.1988976633779913E-166</v>
      </c>
    </row>
    <row r="71" spans="1:23" x14ac:dyDescent="0.2">
      <c r="A71">
        <v>70</v>
      </c>
      <c r="B71">
        <v>166.7</v>
      </c>
      <c r="C71">
        <f t="shared" si="14"/>
        <v>0.29999999999998295</v>
      </c>
      <c r="D71">
        <f t="shared" si="12"/>
        <v>0.90352303523035227</v>
      </c>
      <c r="E71">
        <v>1</v>
      </c>
      <c r="F71">
        <v>69</v>
      </c>
      <c r="G71">
        <f t="shared" si="15"/>
        <v>1.2036133694670281E-2</v>
      </c>
      <c r="H71">
        <f t="shared" si="16"/>
        <v>1.2177777777777777E-2</v>
      </c>
      <c r="I71">
        <f t="shared" si="17"/>
        <v>1.4164408310749638E-4</v>
      </c>
      <c r="K71">
        <f t="shared" si="18"/>
        <v>0.92</v>
      </c>
      <c r="L71">
        <v>7.4000000000000057</v>
      </c>
      <c r="M71">
        <f t="shared" si="23"/>
        <v>127.70999999999998</v>
      </c>
      <c r="N71">
        <f t="shared" si="19"/>
        <v>0.69219512195121935</v>
      </c>
      <c r="O71">
        <f t="shared" si="20"/>
        <v>0.92</v>
      </c>
      <c r="Q71">
        <f t="shared" si="21"/>
        <v>8.961878952122854E-3</v>
      </c>
      <c r="T71">
        <f t="shared" si="22"/>
        <v>0.12195121951218819</v>
      </c>
      <c r="W71">
        <f t="shared" si="13"/>
        <v>1.4550022913743906E-171</v>
      </c>
    </row>
    <row r="72" spans="1:23" x14ac:dyDescent="0.2">
      <c r="A72">
        <v>71</v>
      </c>
      <c r="B72">
        <v>167</v>
      </c>
      <c r="C72">
        <f t="shared" si="14"/>
        <v>0.30000000000001137</v>
      </c>
      <c r="D72">
        <f t="shared" si="12"/>
        <v>0.90514905149051494</v>
      </c>
      <c r="E72">
        <v>1</v>
      </c>
      <c r="F72">
        <v>70</v>
      </c>
      <c r="G72">
        <f t="shared" si="15"/>
        <v>1.2057813911472448E-2</v>
      </c>
      <c r="H72">
        <f t="shared" si="16"/>
        <v>1.2355555555555557E-2</v>
      </c>
      <c r="I72">
        <f t="shared" si="17"/>
        <v>2.977416440831087E-4</v>
      </c>
      <c r="K72">
        <f t="shared" si="18"/>
        <v>0.93333333333333335</v>
      </c>
      <c r="L72">
        <v>7.9699999999999989</v>
      </c>
      <c r="M72">
        <f t="shared" si="23"/>
        <v>135.67999999999998</v>
      </c>
      <c r="N72">
        <f t="shared" si="19"/>
        <v>0.73539295392953918</v>
      </c>
      <c r="O72">
        <f t="shared" si="20"/>
        <v>0.93333333333333335</v>
      </c>
      <c r="Q72">
        <f t="shared" si="21"/>
        <v>9.5172538392050577E-3</v>
      </c>
      <c r="T72">
        <f t="shared" si="22"/>
        <v>0.12195121951219974</v>
      </c>
      <c r="W72">
        <f t="shared" si="13"/>
        <v>1.4968559503363868E-176</v>
      </c>
    </row>
    <row r="73" spans="1:23" x14ac:dyDescent="0.2">
      <c r="A73">
        <v>72</v>
      </c>
      <c r="B73">
        <v>174.4</v>
      </c>
      <c r="C73">
        <f t="shared" si="14"/>
        <v>7.4000000000000057</v>
      </c>
      <c r="D73">
        <f t="shared" si="12"/>
        <v>0.94525745257452576</v>
      </c>
      <c r="E73">
        <v>1</v>
      </c>
      <c r="F73">
        <v>71</v>
      </c>
      <c r="G73">
        <f t="shared" si="15"/>
        <v>1.2336043360433606E-2</v>
      </c>
      <c r="H73">
        <f t="shared" si="16"/>
        <v>1.2533333333333332E-2</v>
      </c>
      <c r="I73">
        <f t="shared" si="17"/>
        <v>1.9728997289972586E-4</v>
      </c>
      <c r="K73">
        <f t="shared" si="18"/>
        <v>0.94666666666666666</v>
      </c>
      <c r="L73">
        <v>8.0399999999999991</v>
      </c>
      <c r="M73">
        <f t="shared" si="23"/>
        <v>143.71999999999997</v>
      </c>
      <c r="N73">
        <f t="shared" si="19"/>
        <v>0.77897018970189691</v>
      </c>
      <c r="O73">
        <f t="shared" si="20"/>
        <v>0.94666666666666666</v>
      </c>
      <c r="Q73">
        <f t="shared" si="21"/>
        <v>1.009575429087624E-2</v>
      </c>
      <c r="T73">
        <f t="shared" si="22"/>
        <v>3.0081300813008154</v>
      </c>
      <c r="W73">
        <f t="shared" si="13"/>
        <v>1.3053624219012353E-181</v>
      </c>
    </row>
    <row r="74" spans="1:23" x14ac:dyDescent="0.2">
      <c r="A74">
        <v>73</v>
      </c>
      <c r="B74">
        <v>175.4</v>
      </c>
      <c r="C74">
        <f t="shared" si="14"/>
        <v>1</v>
      </c>
      <c r="D74">
        <f t="shared" si="12"/>
        <v>0.95067750677506779</v>
      </c>
      <c r="E74">
        <v>1</v>
      </c>
      <c r="F74">
        <v>72</v>
      </c>
      <c r="G74">
        <f t="shared" si="15"/>
        <v>1.2639566395663958E-2</v>
      </c>
      <c r="H74">
        <f t="shared" si="16"/>
        <v>1.2711111111111112E-2</v>
      </c>
      <c r="I74">
        <f t="shared" si="17"/>
        <v>7.1544715447154419E-5</v>
      </c>
      <c r="K74">
        <f t="shared" si="18"/>
        <v>0.96</v>
      </c>
      <c r="L74">
        <v>8.5999999999999979</v>
      </c>
      <c r="M74">
        <f t="shared" si="23"/>
        <v>152.31999999999996</v>
      </c>
      <c r="N74">
        <f t="shared" si="19"/>
        <v>0.8255826558265581</v>
      </c>
      <c r="O74">
        <f t="shared" si="20"/>
        <v>0.96</v>
      </c>
      <c r="Q74">
        <f t="shared" si="21"/>
        <v>1.06970189701897E-2</v>
      </c>
      <c r="T74">
        <f t="shared" si="22"/>
        <v>0.4065040650406504</v>
      </c>
      <c r="W74">
        <f t="shared" si="13"/>
        <v>9.649770215020422E-187</v>
      </c>
    </row>
    <row r="75" spans="1:23" x14ac:dyDescent="0.2">
      <c r="A75">
        <v>74</v>
      </c>
      <c r="B75">
        <v>175.5</v>
      </c>
      <c r="C75">
        <f t="shared" si="14"/>
        <v>9.9999999999994316E-2</v>
      </c>
      <c r="D75">
        <f t="shared" si="12"/>
        <v>0.95121951219512191</v>
      </c>
      <c r="E75">
        <v>1</v>
      </c>
      <c r="F75">
        <v>73</v>
      </c>
      <c r="G75">
        <f t="shared" si="15"/>
        <v>1.2679313459801266E-2</v>
      </c>
      <c r="H75">
        <f t="shared" si="16"/>
        <v>1.2888888888888889E-2</v>
      </c>
      <c r="I75">
        <f t="shared" si="17"/>
        <v>2.0957542908762311E-4</v>
      </c>
      <c r="K75">
        <f t="shared" si="18"/>
        <v>0.97333333333333338</v>
      </c>
      <c r="L75">
        <v>8.9000000000000057</v>
      </c>
      <c r="M75">
        <f t="shared" si="23"/>
        <v>161.21999999999997</v>
      </c>
      <c r="N75">
        <f t="shared" si="19"/>
        <v>0.87382113821138196</v>
      </c>
      <c r="O75">
        <f t="shared" si="20"/>
        <v>0.97333333333333338</v>
      </c>
      <c r="Q75">
        <f t="shared" si="21"/>
        <v>1.1329358626919601E-2</v>
      </c>
      <c r="T75">
        <f t="shared" si="22"/>
        <v>4.0650406504062729E-2</v>
      </c>
      <c r="W75">
        <f t="shared" si="13"/>
        <v>6.0469670861175472E-192</v>
      </c>
    </row>
    <row r="76" spans="1:23" x14ac:dyDescent="0.2">
      <c r="A76">
        <v>75</v>
      </c>
      <c r="B76">
        <v>175.6</v>
      </c>
      <c r="C76">
        <f t="shared" si="14"/>
        <v>9.9999999999994316E-2</v>
      </c>
      <c r="D76">
        <f t="shared" si="12"/>
        <v>0.95176151761517613</v>
      </c>
      <c r="E76">
        <v>1</v>
      </c>
      <c r="F76">
        <v>74</v>
      </c>
      <c r="G76">
        <f t="shared" si="15"/>
        <v>1.2686540198735319E-2</v>
      </c>
      <c r="H76">
        <f t="shared" si="16"/>
        <v>1.3066666666666666E-2</v>
      </c>
      <c r="I76">
        <f t="shared" si="17"/>
        <v>3.8012646793134618E-4</v>
      </c>
      <c r="K76">
        <f t="shared" si="18"/>
        <v>0.98666666666666669</v>
      </c>
      <c r="L76">
        <v>9.4900000000000091</v>
      </c>
      <c r="M76">
        <f t="shared" si="23"/>
        <v>170.70999999999998</v>
      </c>
      <c r="N76">
        <f t="shared" si="19"/>
        <v>0.92525745257452563</v>
      </c>
      <c r="O76">
        <f t="shared" si="20"/>
        <v>0.98666666666666669</v>
      </c>
      <c r="Q76">
        <f t="shared" si="21"/>
        <v>1.199385727190605E-2</v>
      </c>
      <c r="T76">
        <f t="shared" si="22"/>
        <v>4.0650406504062729E-2</v>
      </c>
      <c r="W76">
        <f t="shared" si="13"/>
        <v>3.2121291969491943E-197</v>
      </c>
    </row>
    <row r="77" spans="1:23" x14ac:dyDescent="0.2">
      <c r="B77">
        <v>184.5</v>
      </c>
      <c r="C77">
        <f t="shared" si="14"/>
        <v>8.9000000000000057</v>
      </c>
      <c r="D77">
        <f t="shared" si="12"/>
        <v>1</v>
      </c>
      <c r="E77">
        <v>1</v>
      </c>
      <c r="F77">
        <v>75</v>
      </c>
      <c r="G77">
        <f t="shared" si="15"/>
        <v>1.3011743450767841E-2</v>
      </c>
      <c r="H77">
        <f t="shared" si="16"/>
        <v>1.3244444444444446E-2</v>
      </c>
      <c r="I77">
        <f t="shared" si="17"/>
        <v>2.3270099367660516E-4</v>
      </c>
      <c r="K77">
        <f t="shared" si="18"/>
        <v>1</v>
      </c>
      <c r="L77">
        <v>13.790000000000006</v>
      </c>
      <c r="M77">
        <f t="shared" si="23"/>
        <v>184.5</v>
      </c>
      <c r="N77">
        <f t="shared" si="19"/>
        <v>1</v>
      </c>
      <c r="O77">
        <f t="shared" si="20"/>
        <v>1</v>
      </c>
      <c r="Q77">
        <f t="shared" si="21"/>
        <v>1.2835049683830171E-2</v>
      </c>
      <c r="T77">
        <f t="shared" si="22"/>
        <v>3.6178861788617911</v>
      </c>
      <c r="W77">
        <f t="shared" si="13"/>
        <v>1.4463825466191028E-202</v>
      </c>
    </row>
    <row r="79" spans="1:23" x14ac:dyDescent="0.2">
      <c r="B79" t="s">
        <v>18</v>
      </c>
      <c r="C79">
        <f>STDEV(C3:C77)/(B77/A76)</f>
        <v>1.2116025630447995</v>
      </c>
    </row>
    <row r="86" spans="12:12" x14ac:dyDescent="0.2">
      <c r="L86">
        <v>0</v>
      </c>
    </row>
    <row r="87" spans="12:12" x14ac:dyDescent="0.2">
      <c r="L87">
        <v>0</v>
      </c>
    </row>
    <row r="88" spans="12:12" x14ac:dyDescent="0.2">
      <c r="L88">
        <v>0</v>
      </c>
    </row>
    <row r="89" spans="12:12" x14ac:dyDescent="0.2">
      <c r="L89">
        <v>0</v>
      </c>
    </row>
    <row r="90" spans="12:12" x14ac:dyDescent="0.2">
      <c r="L90">
        <v>0</v>
      </c>
    </row>
    <row r="91" spans="12:12" x14ac:dyDescent="0.2">
      <c r="L91">
        <v>0</v>
      </c>
    </row>
    <row r="92" spans="12:12" x14ac:dyDescent="0.2">
      <c r="L92">
        <v>0</v>
      </c>
    </row>
    <row r="93" spans="12:12" x14ac:dyDescent="0.2">
      <c r="L93">
        <v>0</v>
      </c>
    </row>
    <row r="94" spans="12:12" x14ac:dyDescent="0.2">
      <c r="L94">
        <v>1</v>
      </c>
    </row>
    <row r="96" spans="12:12" x14ac:dyDescent="0.2">
      <c r="L96">
        <f>STDEV(L86:L94)</f>
        <v>0.33333333333333331</v>
      </c>
    </row>
  </sheetData>
  <sortState xmlns:xlrd2="http://schemas.microsoft.com/office/spreadsheetml/2017/richdata2" ref="L3:L77">
    <sortCondition ref="L3:L77"/>
  </sortState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Andrew [USA]</dc:creator>
  <cp:lastModifiedBy>Martin, Andrew [USA]</cp:lastModifiedBy>
  <dcterms:created xsi:type="dcterms:W3CDTF">2026-06-12T17:40:18Z</dcterms:created>
  <dcterms:modified xsi:type="dcterms:W3CDTF">2026-07-14T14:42:22Z</dcterms:modified>
</cp:coreProperties>
</file>